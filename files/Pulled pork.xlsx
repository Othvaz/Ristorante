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<sst xmlns="http://schemas.openxmlformats.org/spreadsheetml/2006/main" count="55" uniqueCount="51">
  <si>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</si>
  <si>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</si>
  <si>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</si>
  <si>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</si>
  <si>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</si>
  <si>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</si>
  <si>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</si>
  <si>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</si>
  <si>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</si>
  <si>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</si>
  <si>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</si>
  <si>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</si>
  <si>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</si>
  <si>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</si>
  <si>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</si>
  <si>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</si>
  <si>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</si>
  <si>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</si>
  <si>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</si>
  <si>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</si>
  <si>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</si>
  <si>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</si>
  <si>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</si>
  <si>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</si>
  <si>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</si>
  <si>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</si>
  <si>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</si>
  <si>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</si>
  <si>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</si>
  <si>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</si>
  <si>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</si>
  <si>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</si>
  <si>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</si>
  <si>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</si>
  <si>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</si>
  <si>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</si>
  <si>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Pulled Pork</t>
  </si>
  <si>
    <t>Brown sugar</t>
  </si>
  <si>
    <t>cayenne pepper</t>
  </si>
  <si>
    <t>Salt</t>
  </si>
  <si>
    <t>Blk Pepper</t>
  </si>
  <si>
    <t>Pork shoulder</t>
  </si>
  <si>
    <t>Cider Vinegar</t>
  </si>
  <si>
    <t>garlic cloves -minced</t>
  </si>
  <si>
    <t>water</t>
  </si>
  <si>
    <t xml:space="preserve">In a small bowl, combine sugar, cayenne, salt, and pepper. Rub pork with spice and place in pan.  combine vinegar, garlic, and water; pour over pork.  Cook for 2-2.5 hrs @ 350, or until pork easily seperates. Reserve juices.  Shred pork into pan/bowl, use reserved juices to remoisten pork as needed.  </t>
  </si>
  <si>
    <t>c</t>
  </si>
  <si>
    <t>t</t>
  </si>
  <si>
    <t>T</t>
  </si>
  <si>
    <t>#</t>
  </si>
  <si>
    <t>ct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</si>
</sst>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zoomScaleNormal="100" zoomScaleSheetLayoutView="110" workbookViewId="0">
      <selection activeCell="L20" sqref="L20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70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0.25</v>
      </c>
      <c r="K12" s="15"/>
      <c r="L12" s="33" t="s">
        <v>46</v>
      </c>
      <c r="M12" s="16"/>
      <c r="N12" s="29">
        <f t="shared" ref="N12:N31" si="0">IF(C12=0," ",(J12/$J$33)*50)</f>
        <v>1.5625</v>
      </c>
      <c r="O12" s="30">
        <f t="shared" ref="O12:O31" si="1">IF(C12=0," ",(J12/$J$33)*75)</f>
        <v>2.34375</v>
      </c>
      <c r="P12" s="30"/>
      <c r="Q12" s="82">
        <f t="shared" ref="Q12:Q31" si="2">IF(C12=0," ",(J12/$J$33)*$Q$9)</f>
        <v>2.1875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0.5</v>
      </c>
      <c r="K13" s="64"/>
      <c r="L13" s="70" t="s">
        <v>47</v>
      </c>
      <c r="M13" s="65"/>
      <c r="N13" s="66">
        <f t="shared" si="0"/>
        <v>3.125</v>
      </c>
      <c r="O13" s="67">
        <f t="shared" si="1"/>
        <v>4.6875</v>
      </c>
      <c r="P13" s="67"/>
      <c r="Q13" s="78">
        <f>IF(C13=0," ",(J13/$J$33)*$Q$9)</f>
        <v>4.375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1</v>
      </c>
      <c r="K14" s="15"/>
      <c r="L14" s="34" t="s">
        <v>48</v>
      </c>
      <c r="M14" s="16"/>
      <c r="N14" s="29">
        <f t="shared" si="0"/>
        <v>6.25</v>
      </c>
      <c r="O14" s="30">
        <f t="shared" si="1"/>
        <v>9.375</v>
      </c>
      <c r="P14" s="30"/>
      <c r="Q14" s="82">
        <f>IF(C14=0," ",(J14/$J$33)*$Q$9)</f>
        <v>8.75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47</v>
      </c>
      <c r="M15" s="71"/>
      <c r="N15" s="66">
        <f t="shared" si="0"/>
        <v>6.25</v>
      </c>
      <c r="O15" s="67">
        <f t="shared" si="1"/>
        <v>9.375</v>
      </c>
      <c r="P15" s="67"/>
      <c r="Q15" s="78">
        <f>IF(C15=0," ",(J15/$J$33)*$Q$9)</f>
        <v>8.75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3</v>
      </c>
      <c r="K16" s="15"/>
      <c r="L16" s="34" t="s">
        <v>49</v>
      </c>
      <c r="M16" s="16"/>
      <c r="N16" s="29">
        <f t="shared" si="0"/>
        <v>18.75</v>
      </c>
      <c r="O16" s="30">
        <f t="shared" si="1"/>
        <v>28.125</v>
      </c>
      <c r="P16" s="30"/>
      <c r="Q16" s="82">
        <f t="shared" si="2"/>
        <v>26.25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1.5</v>
      </c>
      <c r="K17" s="64"/>
      <c r="L17" s="70" t="s">
        <v>46</v>
      </c>
      <c r="M17" s="65"/>
      <c r="N17" s="66">
        <f t="shared" si="0"/>
        <v>9.375</v>
      </c>
      <c r="O17" s="67">
        <f t="shared" si="1"/>
        <v>14.0625</v>
      </c>
      <c r="P17" s="67"/>
      <c r="Q17" s="78">
        <f>IF(C17=0," ",(J17/$J$33)*$Q$9)</f>
        <v>13.125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>
        <v>4</v>
      </c>
      <c r="K18" s="15"/>
      <c r="L18" s="34" t="s">
        <v>50</v>
      </c>
      <c r="M18" s="16"/>
      <c r="N18" s="29">
        <f t="shared" si="0"/>
        <v>25</v>
      </c>
      <c r="O18" s="30">
        <f t="shared" si="1"/>
        <v>37.5</v>
      </c>
      <c r="P18" s="30"/>
      <c r="Q18" s="82">
        <f t="shared" si="2"/>
        <v>35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 t="s">
        <v>44</v>
      </c>
      <c r="D19" s="109"/>
      <c r="E19" s="109"/>
      <c r="F19" s="109"/>
      <c r="G19" s="109"/>
      <c r="H19" s="109"/>
      <c r="I19" s="110"/>
      <c r="J19" s="63">
        <v>0.5</v>
      </c>
      <c r="K19" s="64"/>
      <c r="L19" s="70" t="s">
        <v>46</v>
      </c>
      <c r="M19" s="65"/>
      <c r="N19" s="66">
        <f t="shared" si="0"/>
        <v>3.125</v>
      </c>
      <c r="O19" s="67">
        <f t="shared" si="1"/>
        <v>4.6875</v>
      </c>
      <c r="P19" s="67"/>
      <c r="Q19" s="78">
        <f t="shared" ref="Q19" si="3">IF(C19=0," ",(J19/$J$33)*$Q$9)</f>
        <v>4.375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8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45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2011-07-18T00:30:16Z</dcterms:modified>
</cp:coreProperties>
</file>