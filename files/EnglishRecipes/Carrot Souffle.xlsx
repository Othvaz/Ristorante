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J19" i="1" l="1"/>
  <c r="J16" i="1"/>
  <c r="Q19" i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<sst xmlns="http://schemas.openxmlformats.org/spreadsheetml/2006/main" count="59" uniqueCount="53">
  <si>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</si>
  <si>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</si>
  <si>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</si>
  <si>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</si>
  <si>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</si>
  <si>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</si>
  <si>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</si>
  <si>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</si>
  <si>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</si>
  <si>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</si>
  <si>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</si>
  <si>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</si>
  <si>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</si>
  <si>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</si>
  <si>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</si>
  <si>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</si>
  <si>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</si>
  <si>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</si>
  <si>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</si>
  <si>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</si>
  <si>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</si>
  <si>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</si>
  <si>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</si>
  <si>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</si>
  <si>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</si>
  <si>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</si>
  <si>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</si>
  <si>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</si>
  <si>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</si>
  <si>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</si>
  <si>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</si>
  <si>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</si>
  <si>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</si>
  <si>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</si>
  <si>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</si>
  <si>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</si>
  <si>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Carrot Souffle</t>
  </si>
  <si>
    <t>Carrots</t>
  </si>
  <si>
    <t>Whole Milk</t>
  </si>
  <si>
    <t>Saltines</t>
  </si>
  <si>
    <t>Cheddar Cheese - shred</t>
  </si>
  <si>
    <t>Onion -minced</t>
  </si>
  <si>
    <t>Butter</t>
  </si>
  <si>
    <t>Kosher Salt</t>
  </si>
  <si>
    <t>Cayenne Pepper</t>
  </si>
  <si>
    <t>Black Pepper</t>
  </si>
  <si>
    <t>Eggs</t>
  </si>
  <si>
    <t xml:space="preserve">1 Preheat oven to 350°F. Butter a 2-quart baking dish and set aside.
2 Place carrots in a saucepan and cover with an inch of water. Add about 1 teaspoon of salt to the water. Bring to a boil and cook for about 10 minutes, or until the carrots are tender. Strain the carrots and purée in a food processor or with an immersion blender.
3 Place carrot purée in a large bowl. Slowly add in the milk, a little at a time, whisking after each addition so that the mixture stays smooth, not lumpy. Mix in the saltine cracker crumbs, the grated cheese, onion, butter, Kosher salt, cayenne, and black pepper.
4 In a separate bowl, whip up the eggs until frothy. Then whisk them into the carrot purée mixture.
5 Transfer the mixture into the prepared baking dish. Bake for 40-45 minutes, until puffed up a bit and lightly golden.
</t>
  </si>
  <si>
    <t>#</t>
  </si>
  <si>
    <t>c</t>
  </si>
  <si>
    <t>T</t>
  </si>
  <si>
    <t>t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</si>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</sst>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4" zoomScaleNormal="100" zoomScaleSheetLayoutView="110" workbookViewId="0">
      <selection activeCell="J34" sqref="J34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96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2</v>
      </c>
      <c r="K12" s="15"/>
      <c r="L12" s="33" t="s">
        <v>48</v>
      </c>
      <c r="M12" s="16"/>
      <c r="N12" s="29">
        <f t="shared" ref="N12:N31" si="0">IF(C12=0," ",(J12/$J$33)*50)</f>
        <v>8.3333333333333321</v>
      </c>
      <c r="O12" s="30">
        <f t="shared" ref="O12:O31" si="1">IF(C12=0," ",(J12/$J$33)*75)</f>
        <v>12.5</v>
      </c>
      <c r="P12" s="30"/>
      <c r="Q12" s="82">
        <f t="shared" ref="Q12:Q31" si="2">IF(C12=0," ",(J12/$J$33)*$Q$9)</f>
        <v>16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49</v>
      </c>
      <c r="M13" s="65"/>
      <c r="N13" s="66">
        <f t="shared" si="0"/>
        <v>4.1666666666666661</v>
      </c>
      <c r="O13" s="67">
        <f t="shared" si="1"/>
        <v>6.25</v>
      </c>
      <c r="P13" s="67"/>
      <c r="Q13" s="78">
        <f>IF(C13=0," ",(J13/$J$33)*$Q$9)</f>
        <v>8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49</v>
      </c>
      <c r="M14" s="16"/>
      <c r="N14" s="29">
        <f t="shared" si="0"/>
        <v>4.1666666666666661</v>
      </c>
      <c r="O14" s="30">
        <f t="shared" si="1"/>
        <v>6.25</v>
      </c>
      <c r="P14" s="30"/>
      <c r="Q14" s="82">
        <f>IF(C14=0," ",(J14/$J$33)*$Q$9)</f>
        <v>8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0.75</v>
      </c>
      <c r="K15" s="64"/>
      <c r="L15" s="70" t="s">
        <v>49</v>
      </c>
      <c r="M15" s="71"/>
      <c r="N15" s="66">
        <f t="shared" si="0"/>
        <v>3.125</v>
      </c>
      <c r="O15" s="67">
        <f t="shared" si="1"/>
        <v>4.6875</v>
      </c>
      <c r="P15" s="67"/>
      <c r="Q15" s="78">
        <f>IF(C15=0," ",(J15/$J$33)*$Q$9)</f>
        <v>6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f>1/3</f>
        <v>0.33333333333333331</v>
      </c>
      <c r="K16" s="15"/>
      <c r="L16" s="34" t="s">
        <v>49</v>
      </c>
      <c r="M16" s="16"/>
      <c r="N16" s="29">
        <f t="shared" si="0"/>
        <v>1.3888888888888888</v>
      </c>
      <c r="O16" s="30">
        <f t="shared" si="1"/>
        <v>2.083333333333333</v>
      </c>
      <c r="P16" s="30"/>
      <c r="Q16" s="82">
        <f t="shared" si="2"/>
        <v>2.6666666666666665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50</v>
      </c>
      <c r="M17" s="65"/>
      <c r="N17" s="66">
        <f t="shared" si="0"/>
        <v>4.1666666666666661</v>
      </c>
      <c r="O17" s="67">
        <f t="shared" si="1"/>
        <v>6.25</v>
      </c>
      <c r="P17" s="67"/>
      <c r="Q17" s="78">
        <f>IF(C17=0," ",(J17/$J$33)*$Q$9)</f>
        <v>8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51</v>
      </c>
      <c r="M18" s="16"/>
      <c r="N18" s="29">
        <f t="shared" si="0"/>
        <v>4.1666666666666661</v>
      </c>
      <c r="O18" s="30">
        <f t="shared" si="1"/>
        <v>6.25</v>
      </c>
      <c r="P18" s="30"/>
      <c r="Q18" s="82">
        <f t="shared" si="2"/>
        <v>8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f>1/8</f>
        <v>0.125</v>
      </c>
      <c r="K19" s="64"/>
      <c r="L19" s="70" t="s">
        <v>51</v>
      </c>
      <c r="M19" s="65"/>
      <c r="N19" s="66">
        <f t="shared" si="0"/>
        <v>0.52083333333333326</v>
      </c>
      <c r="O19" s="67">
        <f t="shared" si="1"/>
        <v>0.78125</v>
      </c>
      <c r="P19" s="67"/>
      <c r="Q19" s="78">
        <f t="shared" ref="Q19" si="3">IF(C19=0," ",(J19/$J$33)*$Q$9)</f>
        <v>1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 t="s">
        <v>45</v>
      </c>
      <c r="D20" s="80"/>
      <c r="E20" s="80"/>
      <c r="F20" s="80"/>
      <c r="G20" s="80"/>
      <c r="H20" s="80"/>
      <c r="I20" s="81"/>
      <c r="J20" s="56">
        <v>0.25</v>
      </c>
      <c r="K20" s="15"/>
      <c r="L20" s="34" t="s">
        <v>51</v>
      </c>
      <c r="M20" s="16"/>
      <c r="N20" s="29">
        <f t="shared" si="0"/>
        <v>1.0416666666666665</v>
      </c>
      <c r="O20" s="30">
        <f t="shared" si="1"/>
        <v>1.5625</v>
      </c>
      <c r="P20" s="30"/>
      <c r="Q20" s="82">
        <f>IF(C20=0," ",(J20/$J$33)*$Q$9)</f>
        <v>2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 t="s">
        <v>46</v>
      </c>
      <c r="D21" s="109"/>
      <c r="E21" s="109"/>
      <c r="F21" s="109"/>
      <c r="G21" s="109"/>
      <c r="H21" s="109"/>
      <c r="I21" s="110"/>
      <c r="J21" s="63">
        <v>3</v>
      </c>
      <c r="K21" s="64"/>
      <c r="L21" s="70" t="s">
        <v>52</v>
      </c>
      <c r="M21" s="65"/>
      <c r="N21" s="66">
        <f t="shared" si="0"/>
        <v>12.5</v>
      </c>
      <c r="O21" s="67">
        <f t="shared" si="1"/>
        <v>18.75</v>
      </c>
      <c r="P21" s="67"/>
      <c r="Q21" s="78">
        <f t="shared" si="2"/>
        <v>24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12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47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2012-08-01T17:13:47Z</dcterms:modified>
</cp:coreProperties>
</file>