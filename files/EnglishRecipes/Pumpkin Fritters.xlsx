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45621" calcMode="autoNoTable"/>
</workbook>
</file>

<file path=xl/calcChain.xml><?xml version="1.0" encoding="utf-8"?>
<calcChain xmlns="http://schemas.openxmlformats.org/spreadsheetml/2006/main">
  <c r="Q19" i="1" l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<sst xmlns="http://schemas.openxmlformats.org/spreadsheetml/2006/main" count="55" uniqueCount="50">
  <si>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</si>
  <si>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</si>
  <si>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</si>
  <si>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</si>
  <si>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</si>
  <si>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</si>
  <si>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</si>
  <si>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</si>
  <si>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</si>
  <si>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</si>
  <si>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</si>
  <si>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</si>
  <si>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</si>
  <si>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</si>
  <si>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</si>
  <si>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</si>
  <si>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</si>
  <si>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</si>
  <si>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</si>
  <si>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</si>
  <si>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</si>
  <si>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</si>
  <si>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</si>
  <si>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</si>
  <si>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</si>
  <si>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</si>
  <si>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</si>
  <si>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</si>
  <si>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</si>
  <si>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</si>
  <si>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</si>
  <si>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</si>
  <si>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</si>
  <si>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</si>
  <si>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</si>
  <si>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</si>
  <si>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Pumpkin Fritters</t>
  </si>
  <si>
    <t>Pumpkin -solid pack</t>
  </si>
  <si>
    <t>egg</t>
  </si>
  <si>
    <t>buttermilk</t>
  </si>
  <si>
    <t>salt</t>
  </si>
  <si>
    <t>sugar</t>
  </si>
  <si>
    <t>baking soda</t>
  </si>
  <si>
    <t>AP Flour</t>
  </si>
  <si>
    <t>c</t>
  </si>
  <si>
    <t>ct</t>
  </si>
  <si>
    <t>T</t>
  </si>
  <si>
    <t>t</t>
  </si>
  <si>
    <t>butter -melted</t>
  </si>
  <si>
    <t>Combine pumpkin, egg, buttermilk, melted butter, and beat well until mixed.  Combine dry ingredients, then add to wet ingredients and mix well. Fry in oil using a skillet (deep fry???)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</si>
</sst>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topLeftCell="A19" zoomScaleNormal="100" zoomScaleSheetLayoutView="110" workbookViewId="0">
      <selection activeCell="A37" sqref="A37:S49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 x14ac:dyDescent="0.35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4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4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110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 x14ac:dyDescent="0.2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1.5</v>
      </c>
      <c r="K12" s="15"/>
      <c r="L12" s="33" t="s">
        <v>44</v>
      </c>
      <c r="M12" s="16"/>
      <c r="N12" s="29">
        <f t="shared" ref="N12:N31" si="0">IF(C12=0," ",(J12/$J$33)*50)</f>
        <v>4.6875</v>
      </c>
      <c r="O12" s="30">
        <f t="shared" ref="O12:O31" si="1">IF(C12=0," ",(J12/$J$33)*75)</f>
        <v>7.03125</v>
      </c>
      <c r="P12" s="30"/>
      <c r="Q12" s="82">
        <f t="shared" ref="Q12:Q31" si="2">IF(C12=0," ",(J12/$J$33)*$Q$9)</f>
        <v>10.3125</v>
      </c>
      <c r="R12" s="82"/>
      <c r="S12" s="83"/>
      <c r="U12" s="9"/>
      <c r="V12" s="9"/>
    </row>
    <row r="13" spans="1:29" ht="12.75" customHeight="1" x14ac:dyDescent="0.2">
      <c r="A13" s="68" t="s">
        <v>1</v>
      </c>
      <c r="B13" s="69"/>
      <c r="C13" s="109" t="s">
        <v>38</v>
      </c>
      <c r="D13" s="109"/>
      <c r="E13" s="109"/>
      <c r="F13" s="109"/>
      <c r="G13" s="109"/>
      <c r="H13" s="109"/>
      <c r="I13" s="110"/>
      <c r="J13" s="63">
        <v>2</v>
      </c>
      <c r="K13" s="64"/>
      <c r="L13" s="70" t="s">
        <v>45</v>
      </c>
      <c r="M13" s="65"/>
      <c r="N13" s="66">
        <f t="shared" si="0"/>
        <v>6.25</v>
      </c>
      <c r="O13" s="67">
        <f t="shared" si="1"/>
        <v>9.375</v>
      </c>
      <c r="P13" s="67"/>
      <c r="Q13" s="78">
        <f>IF(C13=0," ",(J13/$J$33)*$Q$9)</f>
        <v>13.75</v>
      </c>
      <c r="R13" s="78"/>
      <c r="S13" s="79"/>
      <c r="U13" s="9"/>
      <c r="V13" s="9"/>
    </row>
    <row r="14" spans="1:29" ht="12.75" customHeight="1" x14ac:dyDescent="0.2">
      <c r="A14" s="50" t="s">
        <v>2</v>
      </c>
      <c r="B14" s="51"/>
      <c r="C14" s="80" t="s">
        <v>39</v>
      </c>
      <c r="D14" s="80"/>
      <c r="E14" s="80"/>
      <c r="F14" s="80"/>
      <c r="G14" s="80"/>
      <c r="H14" s="80"/>
      <c r="I14" s="81"/>
      <c r="J14" s="56">
        <v>0.75</v>
      </c>
      <c r="K14" s="15"/>
      <c r="L14" s="34" t="s">
        <v>44</v>
      </c>
      <c r="M14" s="16"/>
      <c r="N14" s="29">
        <f t="shared" si="0"/>
        <v>2.34375</v>
      </c>
      <c r="O14" s="30">
        <f t="shared" si="1"/>
        <v>3.515625</v>
      </c>
      <c r="P14" s="30"/>
      <c r="Q14" s="82">
        <f>IF(C14=0," ",(J14/$J$33)*$Q$9)</f>
        <v>5.15625</v>
      </c>
      <c r="R14" s="82"/>
      <c r="S14" s="83"/>
      <c r="U14" s="9"/>
      <c r="V14" s="9"/>
    </row>
    <row r="15" spans="1:29" ht="12.75" customHeight="1" x14ac:dyDescent="0.2">
      <c r="A15" s="68" t="s">
        <v>3</v>
      </c>
      <c r="B15" s="69"/>
      <c r="C15" s="109" t="s">
        <v>48</v>
      </c>
      <c r="D15" s="109"/>
      <c r="E15" s="109"/>
      <c r="F15" s="109"/>
      <c r="G15" s="109"/>
      <c r="H15" s="109"/>
      <c r="I15" s="110"/>
      <c r="J15" s="63">
        <v>2</v>
      </c>
      <c r="K15" s="64"/>
      <c r="L15" s="70" t="s">
        <v>46</v>
      </c>
      <c r="M15" s="71"/>
      <c r="N15" s="66">
        <f t="shared" si="0"/>
        <v>6.25</v>
      </c>
      <c r="O15" s="67">
        <f t="shared" si="1"/>
        <v>9.375</v>
      </c>
      <c r="P15" s="67"/>
      <c r="Q15" s="78">
        <f>IF(C15=0," ",(J15/$J$33)*$Q$9)</f>
        <v>13.75</v>
      </c>
      <c r="R15" s="78"/>
      <c r="S15" s="79"/>
      <c r="U15" s="9"/>
      <c r="V15" s="9"/>
    </row>
    <row r="16" spans="1:29" ht="12.75" customHeight="1" x14ac:dyDescent="0.2">
      <c r="A16" s="50" t="s">
        <v>4</v>
      </c>
      <c r="B16" s="51"/>
      <c r="C16" s="80" t="s">
        <v>40</v>
      </c>
      <c r="D16" s="80"/>
      <c r="E16" s="80"/>
      <c r="F16" s="80"/>
      <c r="G16" s="80"/>
      <c r="H16" s="80"/>
      <c r="I16" s="81"/>
      <c r="J16" s="56">
        <v>0.25</v>
      </c>
      <c r="K16" s="15"/>
      <c r="L16" s="34" t="s">
        <v>47</v>
      </c>
      <c r="M16" s="16"/>
      <c r="N16" s="29">
        <f t="shared" si="0"/>
        <v>0.78125</v>
      </c>
      <c r="O16" s="30">
        <f t="shared" si="1"/>
        <v>1.171875</v>
      </c>
      <c r="P16" s="30"/>
      <c r="Q16" s="82">
        <f t="shared" si="2"/>
        <v>1.71875</v>
      </c>
      <c r="R16" s="82"/>
      <c r="S16" s="83"/>
      <c r="U16" s="9"/>
      <c r="V16" s="9"/>
    </row>
    <row r="17" spans="1:23" ht="12.75" customHeight="1" x14ac:dyDescent="0.2">
      <c r="A17" s="68" t="s">
        <v>5</v>
      </c>
      <c r="B17" s="69"/>
      <c r="C17" s="109" t="s">
        <v>41</v>
      </c>
      <c r="D17" s="109"/>
      <c r="E17" s="109"/>
      <c r="F17" s="109"/>
      <c r="G17" s="109"/>
      <c r="H17" s="109"/>
      <c r="I17" s="110"/>
      <c r="J17" s="63">
        <v>1</v>
      </c>
      <c r="K17" s="64"/>
      <c r="L17" s="70" t="s">
        <v>46</v>
      </c>
      <c r="M17" s="65"/>
      <c r="N17" s="66">
        <f t="shared" si="0"/>
        <v>3.125</v>
      </c>
      <c r="O17" s="67">
        <f t="shared" si="1"/>
        <v>4.6875</v>
      </c>
      <c r="P17" s="67"/>
      <c r="Q17" s="78">
        <f>IF(C17=0," ",(J17/$J$33)*$Q$9)</f>
        <v>6.875</v>
      </c>
      <c r="R17" s="78"/>
      <c r="S17" s="79"/>
      <c r="U17" s="9"/>
      <c r="V17" s="9"/>
    </row>
    <row r="18" spans="1:23" ht="12.75" customHeight="1" x14ac:dyDescent="0.2">
      <c r="A18" s="50" t="s">
        <v>6</v>
      </c>
      <c r="B18" s="51"/>
      <c r="C18" s="80" t="s">
        <v>42</v>
      </c>
      <c r="D18" s="80"/>
      <c r="E18" s="80"/>
      <c r="F18" s="80"/>
      <c r="G18" s="80"/>
      <c r="H18" s="80"/>
      <c r="I18" s="81"/>
      <c r="J18" s="56">
        <v>0.5</v>
      </c>
      <c r="K18" s="15"/>
      <c r="L18" s="34" t="s">
        <v>47</v>
      </c>
      <c r="M18" s="16"/>
      <c r="N18" s="29">
        <f t="shared" si="0"/>
        <v>1.5625</v>
      </c>
      <c r="O18" s="30">
        <f t="shared" si="1"/>
        <v>2.34375</v>
      </c>
      <c r="P18" s="30"/>
      <c r="Q18" s="82">
        <f t="shared" si="2"/>
        <v>3.4375</v>
      </c>
      <c r="R18" s="82"/>
      <c r="S18" s="83"/>
      <c r="U18" s="9"/>
      <c r="V18" s="9"/>
    </row>
    <row r="19" spans="1:23" ht="12.75" customHeight="1" x14ac:dyDescent="0.2">
      <c r="A19" s="68" t="s">
        <v>7</v>
      </c>
      <c r="B19" s="69"/>
      <c r="C19" s="109" t="s">
        <v>43</v>
      </c>
      <c r="D19" s="109"/>
      <c r="E19" s="109"/>
      <c r="F19" s="109"/>
      <c r="G19" s="109"/>
      <c r="H19" s="109"/>
      <c r="I19" s="110"/>
      <c r="J19" s="63">
        <v>0.75</v>
      </c>
      <c r="K19" s="64"/>
      <c r="L19" s="70" t="s">
        <v>44</v>
      </c>
      <c r="M19" s="65"/>
      <c r="N19" s="66">
        <f t="shared" si="0"/>
        <v>2.34375</v>
      </c>
      <c r="O19" s="67">
        <f t="shared" si="1"/>
        <v>3.515625</v>
      </c>
      <c r="P19" s="67"/>
      <c r="Q19" s="78">
        <f t="shared" ref="Q19" si="3">IF(C19=0," ",(J19/$J$33)*$Q$9)</f>
        <v>5.15625</v>
      </c>
      <c r="R19" s="78"/>
      <c r="S19" s="79"/>
      <c r="U19" s="9"/>
      <c r="V19" s="9"/>
    </row>
    <row r="20" spans="1:23" ht="12.75" customHeight="1" x14ac:dyDescent="0.2">
      <c r="A20" s="50" t="s">
        <v>8</v>
      </c>
      <c r="B20" s="51"/>
      <c r="C20" s="80"/>
      <c r="D20" s="80"/>
      <c r="E20" s="80"/>
      <c r="F20" s="80"/>
      <c r="G20" s="80"/>
      <c r="H20" s="80"/>
      <c r="I20" s="81"/>
      <c r="J20" s="56"/>
      <c r="K20" s="15"/>
      <c r="L20" s="34"/>
      <c r="M20" s="16"/>
      <c r="N20" s="29" t="str">
        <f t="shared" si="0"/>
        <v xml:space="preserve"> </v>
      </c>
      <c r="O20" s="30" t="str">
        <f t="shared" si="1"/>
        <v xml:space="preserve"> </v>
      </c>
      <c r="P20" s="30"/>
      <c r="Q20" s="82" t="str">
        <f>IF(C20=0," ",(J20/$J$33)*$Q$9)</f>
        <v xml:space="preserve"> </v>
      </c>
      <c r="R20" s="82"/>
      <c r="S20" s="83"/>
      <c r="U20" s="9"/>
      <c r="V20" s="9"/>
    </row>
    <row r="21" spans="1:23" ht="12.75" customHeight="1" x14ac:dyDescent="0.2">
      <c r="A21" s="68" t="s">
        <v>9</v>
      </c>
      <c r="B21" s="69"/>
      <c r="C21" s="109"/>
      <c r="D21" s="109"/>
      <c r="E21" s="109"/>
      <c r="F21" s="109"/>
      <c r="G21" s="109"/>
      <c r="H21" s="109"/>
      <c r="I21" s="110"/>
      <c r="J21" s="63"/>
      <c r="K21" s="64"/>
      <c r="L21" s="70"/>
      <c r="M21" s="65"/>
      <c r="N21" s="66" t="str">
        <f t="shared" si="0"/>
        <v xml:space="preserve"> </v>
      </c>
      <c r="O21" s="67" t="str">
        <f t="shared" si="1"/>
        <v xml:space="preserve"> </v>
      </c>
      <c r="P21" s="67"/>
      <c r="Q21" s="78" t="str">
        <f t="shared" si="2"/>
        <v xml:space="preserve"> </v>
      </c>
      <c r="R21" s="78"/>
      <c r="S21" s="79"/>
      <c r="U21" s="9"/>
      <c r="V21" s="9"/>
    </row>
    <row r="22" spans="1:23" ht="12.75" customHeight="1" x14ac:dyDescent="0.2">
      <c r="A22" s="50" t="s">
        <v>17</v>
      </c>
      <c r="B22" s="51"/>
      <c r="C22" s="80"/>
      <c r="D22" s="80"/>
      <c r="E22" s="80"/>
      <c r="F22" s="80"/>
      <c r="G22" s="80"/>
      <c r="H22" s="80"/>
      <c r="I22" s="81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2" t="str">
        <f t="shared" si="2"/>
        <v xml:space="preserve"> </v>
      </c>
      <c r="R22" s="82"/>
      <c r="S22" s="83"/>
      <c r="U22" s="9"/>
      <c r="V22" s="9"/>
      <c r="W22" s="9"/>
    </row>
    <row r="23" spans="1:23" ht="12.75" customHeight="1" x14ac:dyDescent="0.2">
      <c r="A23" s="68" t="s">
        <v>18</v>
      </c>
      <c r="B23" s="69"/>
      <c r="C23" s="109"/>
      <c r="D23" s="109"/>
      <c r="E23" s="109"/>
      <c r="F23" s="109"/>
      <c r="G23" s="109"/>
      <c r="H23" s="109"/>
      <c r="I23" s="110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78" t="str">
        <f>IF(C23=0," ",(J23/$J$33)*$Q$9)</f>
        <v xml:space="preserve"> </v>
      </c>
      <c r="R23" s="78"/>
      <c r="S23" s="79"/>
      <c r="U23" s="9"/>
      <c r="V23" s="9"/>
    </row>
    <row r="24" spans="1:23" ht="12.75" customHeight="1" x14ac:dyDescent="0.2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 x14ac:dyDescent="0.2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 x14ac:dyDescent="0.2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 x14ac:dyDescent="0.2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 x14ac:dyDescent="0.2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 x14ac:dyDescent="0.2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 x14ac:dyDescent="0.2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 x14ac:dyDescent="0.2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 x14ac:dyDescent="0.25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25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16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 x14ac:dyDescent="0.2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 x14ac:dyDescent="0.25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 x14ac:dyDescent="0.2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 x14ac:dyDescent="0.2">
      <c r="A37" s="137" t="s">
        <v>49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 x14ac:dyDescent="0.2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 x14ac:dyDescent="0.2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 x14ac:dyDescent="0.2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 x14ac:dyDescent="0.2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 x14ac:dyDescent="0.2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 x14ac:dyDescent="0.2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 x14ac:dyDescent="0.2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 x14ac:dyDescent="0.2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 x14ac:dyDescent="0.2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 x14ac:dyDescent="0.2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 x14ac:dyDescent="0.2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 x14ac:dyDescent="0.25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 x14ac:dyDescent="0.25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 x14ac:dyDescent="0.2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 x14ac:dyDescent="0.2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 x14ac:dyDescent="0.25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 x14ac:dyDescent="0.2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 x14ac:dyDescent="0.2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 x14ac:dyDescent="0.2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 x14ac:dyDescent="0.25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Cooks</dc:creator>
  <cp:lastModifiedBy>Cooks</cp:lastModifiedBy>
  <cp:lastPrinted>2008-03-18T15:07:55Z</cp:lastPrinted>
  <dcterms:created xsi:type="dcterms:W3CDTF">2000-10-24T15:57:25Z</dcterms:created>
  <dcterms:modified xsi:type="dcterms:W3CDTF">2012-08-08T01:20:51Z</dcterms:modified>
</cp:coreProperties>
</file>