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  <sheet name="additional instructions" sheetId="4" r:id="rId2"/>
    <sheet name="additional comments" sheetId="3" r:id="rId3"/>
    <sheet name="end recipe" sheetId="5" r:id="rId4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 calcMode="autoNoTable"/>
</workbook>
</file>

<file path=xl/calcChain.xml><?xml version="1.0" encoding="utf-8"?>
<calcChain xmlns="http://schemas.openxmlformats.org/spreadsheetml/2006/main">
  <c r="N23" i="1"/>
  <c r="O23"/>
  <c r="Q23"/>
  <c r="Q13"/>
  <c r="Q15"/>
  <c r="Q14"/>
  <c r="O13"/>
  <c r="N13"/>
  <c r="N20"/>
  <c r="O20"/>
  <c r="Q20"/>
  <c r="N17"/>
  <c r="O17"/>
  <c r="Q17"/>
  <c r="A11" i="3"/>
  <c r="A6"/>
  <c r="A7"/>
  <c r="A8"/>
  <c r="A9"/>
  <c r="A10"/>
  <c r="A5"/>
  <c r="A4"/>
  <c r="A3"/>
  <c r="K1"/>
  <c r="J1"/>
  <c r="E1"/>
  <c r="A4" i="4"/>
  <c r="A5"/>
  <c r="A6"/>
  <c r="A7"/>
  <c r="A8"/>
  <c r="A9"/>
  <c r="A10"/>
  <c r="A11"/>
  <c r="A12"/>
  <c r="K1"/>
  <c r="J1"/>
  <c r="E1"/>
  <c r="A13"/>
  <c r="C13" i="5"/>
  <c r="C14"/>
  <c r="C15"/>
  <c r="C16"/>
  <c r="C17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O16"/>
  <c r="O17"/>
  <c r="O18"/>
  <c r="O19"/>
  <c r="O20"/>
  <c r="O21"/>
  <c r="O22"/>
  <c r="O23"/>
  <c r="O24"/>
  <c r="O25"/>
  <c r="O26"/>
  <c r="O27"/>
  <c r="O28"/>
  <c r="O29"/>
  <c r="O30"/>
  <c r="O31"/>
  <c r="O32"/>
  <c r="O15"/>
  <c r="O13"/>
  <c r="O14"/>
  <c r="A9"/>
  <c r="E8"/>
  <c r="A6"/>
  <c r="A5"/>
  <c r="E4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13"/>
  <c r="L13"/>
  <c r="Q11"/>
  <c r="L34"/>
  <c r="A67"/>
  <c r="A66"/>
  <c r="A65"/>
  <c r="A60"/>
  <c r="A61"/>
  <c r="A62"/>
  <c r="A63"/>
  <c r="A64"/>
  <c r="A59"/>
  <c r="A58"/>
  <c r="A57"/>
  <c r="A49"/>
  <c r="A50"/>
  <c r="A51"/>
  <c r="A52"/>
  <c r="A53"/>
  <c r="A54"/>
  <c r="A48"/>
  <c r="A47"/>
  <c r="A39"/>
  <c r="A40"/>
  <c r="A41"/>
  <c r="A42"/>
  <c r="A43"/>
  <c r="A44"/>
  <c r="A45"/>
  <c r="A46"/>
  <c r="A38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J14"/>
  <c r="J13"/>
  <c r="C18"/>
  <c r="C19"/>
  <c r="C20"/>
  <c r="C21"/>
  <c r="C22"/>
  <c r="C23"/>
  <c r="C24"/>
  <c r="C25"/>
  <c r="C26"/>
  <c r="C27"/>
  <c r="C28"/>
  <c r="C29"/>
  <c r="C30"/>
  <c r="C31"/>
  <c r="C32"/>
  <c r="Q2"/>
  <c r="Q1"/>
  <c r="G2"/>
  <c r="G1"/>
  <c r="R54" i="1"/>
  <c r="R57"/>
  <c r="Q16"/>
  <c r="Q18"/>
  <c r="Q19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8"/>
  <c r="N19"/>
  <c r="N21"/>
  <c r="N22"/>
  <c r="N24"/>
  <c r="N25"/>
  <c r="N26"/>
  <c r="N27"/>
  <c r="N28"/>
  <c r="N29"/>
  <c r="N30"/>
  <c r="N31"/>
  <c r="O12"/>
  <c r="N12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description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comments2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enter your additional instructions in this space.  Initial and date your instructions if you like.</t>
        </r>
      </text>
    </comment>
  </commentList>
</comments>
</file>

<file path=xl/comments3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enter your additional comments in this space.  Initial and date your comments if you like.</t>
        </r>
      </text>
    </comment>
  </commentList>
</comments>
</file>

<file path=xl/comments4.xml><?xml version="1.0" encoding="utf-8"?>
<comments xmlns="http://schemas.openxmlformats.org/spreadsheetml/2006/main">
  <authors>
    <author>Tech Prime</author>
    <author>dyson</author>
  </authors>
  <commentLis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A37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6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<sst xmlns="http://schemas.openxmlformats.org/spreadsheetml/2006/main" count="90" uniqueCount="58">
  <si>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</si>
  <si>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</si>
  <si>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</si>
  <si>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</si>
  <si>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</si>
  <si>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</si>
  <si>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</si>
  <si>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</si>
  <si>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</si>
  <si>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</si>
  <si>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</si>
  <si>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</si>
  <si>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</si>
  <si>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</si>
  <si>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</si>
  <si>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</si>
  <si>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</si>
  <si>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</si>
  <si>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</si>
  <si>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</si>
  <si>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</si>
  <si>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</si>
  <si>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</si>
  <si>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</si>
  <si>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</si>
  <si>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</si>
  <si>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</si>
  <si>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</si>
  <si>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</si>
  <si>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</si>
  <si>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</si>
  <si>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r>
      <t xml:space="preserve">additional cooking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 for</t>
    </r>
  </si>
  <si>
    <r>
      <t xml:space="preserve">additional cooking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for</t>
    </r>
  </si>
  <si>
    <r>
      <t xml:space="preserve">please enter additional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below:</t>
    </r>
  </si>
  <si>
    <r>
      <t xml:space="preserve">please enter additional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below:</t>
    </r>
  </si>
  <si>
    <t>intro:</t>
  </si>
  <si>
    <t>vil / recipe code</t>
  </si>
  <si>
    <t>source:</t>
  </si>
  <si>
    <t>calculator</t>
  </si>
  <si>
    <t>Recipe yield:</t>
  </si>
  <si>
    <t>from calculator, for</t>
  </si>
  <si>
    <t>people.</t>
  </si>
  <si>
    <t>Fried Chicken</t>
  </si>
  <si>
    <t>Brathaehnchen</t>
  </si>
  <si>
    <t>Fryer Chicken, cut up</t>
  </si>
  <si>
    <t>ct</t>
  </si>
  <si>
    <t>Egg</t>
  </si>
  <si>
    <t>Butter</t>
  </si>
  <si>
    <t>Tbsp</t>
  </si>
  <si>
    <t>AP Flour</t>
  </si>
  <si>
    <t>cup</t>
  </si>
  <si>
    <t>Parsley</t>
  </si>
  <si>
    <t>Salt</t>
  </si>
  <si>
    <t>Tsp</t>
  </si>
  <si>
    <t>Black Pepper</t>
  </si>
  <si>
    <t>Beer</t>
  </si>
  <si>
    <t>Vegetable Oil for Frying</t>
  </si>
  <si>
    <t xml:space="preserve">    1, Rub chicken with 2 tsp of the salt and 1/4 tsp of the pepper. Cover loosely with platisc wrap and refrigerate 1 hour.    2, Sift flour and remaining salt and pepper into a medium bowl. Beat in the eggs and beer until smooth. Add butter or maragarine and parsley; stir to combine. 3, Dip chicken, 1 piece at a time, in battter, turning chicken to caot heavily and evenly with batter. Let excess batter drip off. Place battered chicken on a backing sheet so they don't touch one another. Refrigertae, uncovered, 1 hour.   4, Preheat over to 350F. In a large saucepan or deep fryer, heat vetagable oil to 360F. Fry chciken until turns a light colour, about 10 mintues. Remove chicken; drain on paper towels. Arrange fried chicken in a shallow baking dish. Bake, uncovered, 20 to 30 mins or until crispy and browned.</t>
  </si>
</sst>
</file>

<file path=xl/styles.xml><?xml version="1.0" encoding="utf-8"?>
<styleSheet xmlns="http://schemas.openxmlformats.org/spreadsheetml/2006/main">
  <numFmts count="1">
    <numFmt numFmtId="164" formatCode="mm/dd/yy"/>
  </numFmts>
  <fonts count="2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i/>
      <vertAlign val="subscript"/>
      <sz val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5" fillId="2" borderId="7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 indent="2"/>
    </xf>
    <xf numFmtId="0" fontId="1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9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0" borderId="14" xfId="0" applyNumberFormat="1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19" xfId="0" applyFont="1" applyBorder="1" applyAlignment="1" applyProtection="1">
      <alignment horizontal="right" vertical="center" shrinkToFit="1"/>
    </xf>
    <xf numFmtId="0" fontId="5" fillId="0" borderId="20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right" vertical="center" shrinkToFit="1"/>
    </xf>
    <xf numFmtId="0" fontId="5" fillId="0" borderId="0" xfId="0" applyFont="1" applyBorder="1" applyAlignment="1" applyProtection="1">
      <alignment horizontal="left" vertical="center"/>
    </xf>
    <xf numFmtId="0" fontId="6" fillId="2" borderId="23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</xf>
    <xf numFmtId="0" fontId="6" fillId="0" borderId="26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21" xfId="0" applyFont="1" applyBorder="1" applyAlignment="1" applyProtection="1">
      <alignment horizontal="left" vertical="center" shrinkToFit="1"/>
    </xf>
    <xf numFmtId="0" fontId="2" fillId="0" borderId="0" xfId="0" applyFont="1" applyAlignment="1" applyProtection="1">
      <alignment horizontal="right"/>
    </xf>
    <xf numFmtId="0" fontId="5" fillId="0" borderId="0" xfId="0" applyFont="1" applyProtection="1"/>
    <xf numFmtId="0" fontId="2" fillId="0" borderId="0" xfId="0" applyFont="1" applyFill="1" applyBorder="1" applyAlignment="1" applyProtection="1">
      <alignment horizontal="right"/>
    </xf>
    <xf numFmtId="0" fontId="5" fillId="0" borderId="0" xfId="0" applyFont="1" applyBorder="1" applyProtection="1"/>
    <xf numFmtId="0" fontId="1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2" borderId="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right"/>
    </xf>
    <xf numFmtId="0" fontId="5" fillId="0" borderId="16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0" fontId="5" fillId="0" borderId="16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27" xfId="0" applyFont="1" applyFill="1" applyBorder="1" applyAlignment="1" applyProtection="1">
      <alignment horizontal="center"/>
    </xf>
    <xf numFmtId="0" fontId="6" fillId="0" borderId="2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6" fillId="0" borderId="15" xfId="0" applyFont="1" applyBorder="1" applyProtection="1"/>
    <xf numFmtId="4" fontId="6" fillId="0" borderId="16" xfId="0" applyNumberFormat="1" applyFont="1" applyBorder="1" applyAlignment="1" applyProtection="1">
      <alignment horizontal="center"/>
    </xf>
    <xf numFmtId="0" fontId="16" fillId="0" borderId="16" xfId="0" applyFont="1" applyBorder="1" applyAlignment="1" applyProtection="1">
      <alignment horizontal="center"/>
    </xf>
    <xf numFmtId="0" fontId="6" fillId="0" borderId="16" xfId="0" applyFont="1" applyBorder="1" applyProtection="1"/>
    <xf numFmtId="0" fontId="6" fillId="0" borderId="27" xfId="0" applyFont="1" applyBorder="1" applyProtection="1"/>
    <xf numFmtId="0" fontId="6" fillId="0" borderId="9" xfId="0" applyFont="1" applyBorder="1" applyAlignment="1" applyProtection="1">
      <alignment horizontal="center" vertical="center"/>
    </xf>
    <xf numFmtId="0" fontId="6" fillId="0" borderId="17" xfId="0" applyFont="1" applyBorder="1" applyProtection="1"/>
    <xf numFmtId="4" fontId="6" fillId="0" borderId="18" xfId="0" applyNumberFormat="1" applyFont="1" applyBorder="1" applyAlignment="1" applyProtection="1">
      <alignment horizontal="center"/>
    </xf>
    <xf numFmtId="0" fontId="16" fillId="0" borderId="18" xfId="0" applyFont="1" applyBorder="1" applyAlignment="1" applyProtection="1">
      <alignment horizontal="center"/>
    </xf>
    <xf numFmtId="0" fontId="6" fillId="0" borderId="18" xfId="0" applyFont="1" applyBorder="1" applyProtection="1"/>
    <xf numFmtId="0" fontId="6" fillId="0" borderId="29" xfId="0" applyFont="1" applyBorder="1" applyProtection="1"/>
    <xf numFmtId="0" fontId="6" fillId="0" borderId="19" xfId="0" applyFont="1" applyBorder="1" applyProtection="1"/>
    <xf numFmtId="4" fontId="6" fillId="0" borderId="20" xfId="0" applyNumberFormat="1" applyFont="1" applyBorder="1" applyAlignment="1" applyProtection="1">
      <alignment horizontal="center"/>
    </xf>
    <xf numFmtId="0" fontId="16" fillId="0" borderId="20" xfId="0" applyFont="1" applyBorder="1" applyAlignment="1" applyProtection="1">
      <alignment horizontal="center"/>
    </xf>
    <xf numFmtId="0" fontId="6" fillId="0" borderId="20" xfId="0" applyFont="1" applyBorder="1" applyProtection="1"/>
    <xf numFmtId="0" fontId="6" fillId="0" borderId="30" xfId="0" applyFont="1" applyBorder="1" applyProtection="1"/>
    <xf numFmtId="0" fontId="6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/>
    </xf>
    <xf numFmtId="0" fontId="5" fillId="0" borderId="0" xfId="0" applyFont="1" applyBorder="1" applyAlignment="1" applyProtection="1">
      <alignment vertical="center"/>
    </xf>
    <xf numFmtId="0" fontId="5" fillId="0" borderId="31" xfId="0" applyFont="1" applyBorder="1" applyAlignment="1" applyProtection="1">
      <alignment horizontal="center" vertical="center" shrinkToFit="1"/>
    </xf>
    <xf numFmtId="0" fontId="6" fillId="0" borderId="0" xfId="0" applyFont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12" fillId="0" borderId="44" xfId="0" applyFont="1" applyBorder="1" applyAlignment="1" applyProtection="1">
      <alignment horizontal="left" vertical="center" shrinkToFit="1"/>
    </xf>
    <xf numFmtId="0" fontId="12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54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164" fontId="18" fillId="0" borderId="0" xfId="0" applyNumberFormat="1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top"/>
    </xf>
    <xf numFmtId="0" fontId="5" fillId="0" borderId="48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50" xfId="0" applyFont="1" applyBorder="1" applyAlignment="1" applyProtection="1">
      <alignment horizontal="left" vertical="top" wrapText="1"/>
      <protection locked="0"/>
    </xf>
    <xf numFmtId="0" fontId="5" fillId="0" borderId="42" xfId="0" applyFont="1" applyBorder="1" applyAlignment="1" applyProtection="1">
      <alignment horizontal="left" vertical="top" wrapText="1"/>
      <protection locked="0"/>
    </xf>
    <xf numFmtId="0" fontId="5" fillId="0" borderId="43" xfId="0" applyFont="1" applyBorder="1" applyAlignment="1" applyProtection="1">
      <alignment horizontal="left" vertical="top" wrapText="1"/>
      <protection locked="0"/>
    </xf>
    <xf numFmtId="0" fontId="5" fillId="0" borderId="53" xfId="0" applyFont="1" applyBorder="1" applyAlignment="1" applyProtection="1">
      <alignment horizontal="left" vertical="top" wrapText="1"/>
      <protection locked="0"/>
    </xf>
    <xf numFmtId="0" fontId="5" fillId="0" borderId="21" xfId="0" applyFont="1" applyBorder="1" applyAlignment="1" applyProtection="1">
      <alignment horizontal="left" vertical="top" wrapText="1"/>
      <protection locked="0"/>
    </xf>
    <xf numFmtId="0" fontId="5" fillId="0" borderId="54" xfId="0" applyFont="1" applyBorder="1" applyAlignment="1" applyProtection="1">
      <alignment horizontal="left" vertical="top" wrapText="1"/>
      <protection locked="0"/>
    </xf>
    <xf numFmtId="0" fontId="12" fillId="0" borderId="55" xfId="0" applyFont="1" applyFill="1" applyBorder="1" applyAlignment="1" applyProtection="1">
      <alignment horizontal="left" vertical="center"/>
    </xf>
    <xf numFmtId="0" fontId="12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left" shrinkToFit="1"/>
      <protection locked="0"/>
    </xf>
    <xf numFmtId="0" fontId="6" fillId="0" borderId="18" xfId="0" applyFont="1" applyBorder="1" applyAlignment="1" applyProtection="1">
      <alignment horizontal="left" shrinkToFit="1"/>
      <protection locked="0"/>
    </xf>
    <xf numFmtId="0" fontId="6" fillId="0" borderId="50" xfId="0" applyFont="1" applyBorder="1" applyAlignment="1" applyProtection="1">
      <alignment horizontal="left" shrinkToFit="1"/>
      <protection locked="0"/>
    </xf>
    <xf numFmtId="0" fontId="6" fillId="2" borderId="8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1" xfId="0" applyFont="1" applyFill="1" applyBorder="1" applyAlignment="1" applyProtection="1">
      <alignment horizontal="right" shrinkToFit="1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0" borderId="48" xfId="0" applyFont="1" applyFill="1" applyBorder="1" applyAlignment="1" applyProtection="1">
      <alignment horizontal="left" vertical="center" shrinkToFit="1"/>
      <protection locked="0"/>
    </xf>
    <xf numFmtId="0" fontId="6" fillId="0" borderId="18" xfId="0" applyFont="1" applyFill="1" applyBorder="1" applyAlignment="1" applyProtection="1">
      <alignment horizontal="left" vertical="center" shrinkToFit="1"/>
      <protection locked="0"/>
    </xf>
    <xf numFmtId="0" fontId="6" fillId="0" borderId="50" xfId="0" applyFont="1" applyFill="1" applyBorder="1" applyAlignment="1" applyProtection="1">
      <alignment horizontal="left" vertical="center" shrinkToFit="1"/>
      <protection locked="0"/>
    </xf>
    <xf numFmtId="0" fontId="6" fillId="0" borderId="52" xfId="0" applyFont="1" applyBorder="1" applyAlignment="1" applyProtection="1">
      <alignment horizontal="left" shrinkToFit="1"/>
      <protection locked="0"/>
    </xf>
    <xf numFmtId="0" fontId="8" fillId="2" borderId="44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47" xfId="0" applyFont="1" applyFill="1" applyBorder="1" applyAlignment="1" applyProtection="1">
      <alignment horizontal="center" vertical="center" textRotation="180"/>
    </xf>
    <xf numFmtId="0" fontId="8" fillId="2" borderId="44" xfId="0" applyFont="1" applyFill="1" applyBorder="1" applyAlignment="1" applyProtection="1">
      <alignment horizontal="center" vertical="top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47" xfId="0" applyFont="1" applyFill="1" applyBorder="1" applyAlignment="1" applyProtection="1">
      <alignment horizontal="center" vertical="top" textRotation="18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7" xfId="0" applyNumberFormat="1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5" fillId="2" borderId="44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45" xfId="0" applyFont="1" applyFill="1" applyBorder="1" applyAlignment="1">
      <alignment horizontal="left"/>
    </xf>
    <xf numFmtId="2" fontId="5" fillId="0" borderId="14" xfId="0" applyNumberFormat="1" applyFont="1" applyBorder="1" applyAlignment="1" applyProtection="1">
      <alignment horizontal="center" vertical="center"/>
    </xf>
    <xf numFmtId="2" fontId="5" fillId="0" borderId="49" xfId="0" applyNumberFormat="1" applyFont="1" applyBorder="1" applyAlignment="1" applyProtection="1">
      <alignment horizontal="center" vertical="center"/>
    </xf>
    <xf numFmtId="0" fontId="5" fillId="0" borderId="46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47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8" xfId="0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left" shrinkToFit="1"/>
      <protection locked="0"/>
    </xf>
    <xf numFmtId="0" fontId="5" fillId="0" borderId="16" xfId="0" applyFont="1" applyBorder="1" applyAlignment="1" applyProtection="1">
      <alignment horizontal="left" shrinkToFit="1"/>
      <protection locked="0"/>
    </xf>
    <xf numFmtId="0" fontId="5" fillId="0" borderId="41" xfId="0" applyFont="1" applyBorder="1" applyAlignment="1" applyProtection="1">
      <alignment horizontal="left" shrinkToFit="1"/>
      <protection locked="0"/>
    </xf>
    <xf numFmtId="0" fontId="6" fillId="2" borderId="9" xfId="0" applyFont="1" applyFill="1" applyBorder="1" applyAlignment="1" applyProtection="1">
      <alignment horizontal="right" shrinkToFit="1"/>
    </xf>
    <xf numFmtId="0" fontId="5" fillId="0" borderId="3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left" vertical="center"/>
      <protection locked="0"/>
    </xf>
    <xf numFmtId="0" fontId="5" fillId="0" borderId="39" xfId="0" applyFont="1" applyFill="1" applyBorder="1" applyAlignment="1" applyProtection="1">
      <alignment horizontal="center" vertical="center"/>
      <protection locked="0"/>
    </xf>
    <xf numFmtId="0" fontId="5" fillId="0" borderId="35" xfId="0" applyFont="1" applyFill="1" applyBorder="1" applyAlignment="1" applyProtection="1">
      <alignment horizontal="center" vertical="center"/>
      <protection locked="0"/>
    </xf>
    <xf numFmtId="0" fontId="5" fillId="0" borderId="38" xfId="0" applyFont="1" applyFill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 applyProtection="1">
      <alignment horizontal="left" vertical="top" wrapText="1"/>
      <protection locked="0"/>
    </xf>
    <xf numFmtId="0" fontId="5" fillId="0" borderId="33" xfId="0" applyFont="1" applyBorder="1" applyAlignment="1" applyProtection="1">
      <alignment horizontal="left" vertical="top" wrapText="1"/>
      <protection locked="0"/>
    </xf>
    <xf numFmtId="0" fontId="20" fillId="0" borderId="34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33" xfId="0" applyFont="1" applyBorder="1" applyAlignment="1">
      <alignment horizontal="left" vertical="top" wrapText="1"/>
    </xf>
    <xf numFmtId="0" fontId="8" fillId="2" borderId="32" xfId="0" applyFont="1" applyFill="1" applyBorder="1" applyAlignment="1" applyProtection="1">
      <alignment horizontal="center" vertical="center"/>
      <protection locked="0"/>
    </xf>
    <xf numFmtId="0" fontId="8" fillId="2" borderId="35" xfId="0" applyFont="1" applyFill="1" applyBorder="1" applyAlignment="1" applyProtection="1">
      <alignment horizontal="center" vertical="center"/>
      <protection locked="0"/>
    </xf>
    <xf numFmtId="0" fontId="8" fillId="2" borderId="38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2" borderId="32" xfId="0" applyFont="1" applyFill="1" applyBorder="1" applyAlignment="1" applyProtection="1">
      <alignment horizontal="left" vertical="center" shrinkToFit="1"/>
    </xf>
    <xf numFmtId="0" fontId="5" fillId="2" borderId="35" xfId="0" applyFont="1" applyFill="1" applyBorder="1" applyAlignment="1" applyProtection="1">
      <alignment horizontal="left" vertical="center" shrinkToFit="1"/>
    </xf>
    <xf numFmtId="0" fontId="5" fillId="2" borderId="36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5" fillId="0" borderId="17" xfId="0" applyFont="1" applyBorder="1" applyAlignment="1" applyProtection="1">
      <alignment horizontal="left" vertical="center" shrinkToFit="1"/>
      <protection locked="0"/>
    </xf>
    <xf numFmtId="0" fontId="5" fillId="0" borderId="1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30" xfId="0" applyFont="1" applyBorder="1" applyAlignment="1" applyProtection="1">
      <alignment horizontal="left" vertical="center" shrinkToFit="1"/>
      <protection locked="0"/>
    </xf>
    <xf numFmtId="0" fontId="5" fillId="2" borderId="8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30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 shrinkToFit="1"/>
    </xf>
    <xf numFmtId="0" fontId="5" fillId="0" borderId="26" xfId="0" applyFont="1" applyBorder="1" applyAlignment="1">
      <alignment horizontal="left" vertical="center" shrinkToFit="1"/>
    </xf>
    <xf numFmtId="0" fontId="12" fillId="2" borderId="1" xfId="0" applyFont="1" applyFill="1" applyBorder="1" applyAlignment="1">
      <alignment horizontal="left" vertical="center" shrinkToFit="1"/>
    </xf>
    <xf numFmtId="0" fontId="5" fillId="0" borderId="56" xfId="0" applyFont="1" applyBorder="1" applyAlignment="1" applyProtection="1">
      <alignment horizontal="left" vertical="center" shrinkToFit="1"/>
      <protection locked="0"/>
    </xf>
    <xf numFmtId="0" fontId="5" fillId="0" borderId="5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10" fillId="0" borderId="3" xfId="0" applyFont="1" applyBorder="1" applyAlignment="1">
      <alignment horizontal="right" vertical="center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5" fillId="0" borderId="29" xfId="0" applyFont="1" applyBorder="1" applyAlignment="1" applyProtection="1">
      <alignment horizontal="center" vertical="center" shrinkToFit="1"/>
      <protection locked="0"/>
    </xf>
    <xf numFmtId="0" fontId="6" fillId="0" borderId="46" xfId="0" applyFont="1" applyBorder="1" applyAlignment="1" applyProtection="1">
      <alignment horizontal="left"/>
    </xf>
    <xf numFmtId="0" fontId="6" fillId="0" borderId="12" xfId="0" applyFont="1" applyBorder="1" applyAlignment="1" applyProtection="1">
      <alignment horizontal="left"/>
    </xf>
    <xf numFmtId="0" fontId="6" fillId="0" borderId="47" xfId="0" applyFont="1" applyBorder="1" applyAlignment="1" applyProtection="1">
      <alignment horizontal="left"/>
    </xf>
    <xf numFmtId="0" fontId="16" fillId="0" borderId="55" xfId="0" applyFont="1" applyBorder="1" applyAlignment="1" applyProtection="1">
      <alignment horizontal="left" vertical="center" shrinkToFit="1"/>
    </xf>
    <xf numFmtId="0" fontId="16" fillId="0" borderId="21" xfId="0" applyFont="1" applyBorder="1" applyAlignment="1" applyProtection="1">
      <alignment horizontal="left" vertical="center" shrinkToFit="1"/>
    </xf>
    <xf numFmtId="0" fontId="16" fillId="0" borderId="55" xfId="0" applyFont="1" applyFill="1" applyBorder="1" applyAlignment="1" applyProtection="1">
      <alignment horizontal="left" vertical="center"/>
    </xf>
    <xf numFmtId="0" fontId="16" fillId="0" borderId="21" xfId="0" applyFont="1" applyFill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 shrinkToFit="1"/>
    </xf>
    <xf numFmtId="0" fontId="6" fillId="0" borderId="54" xfId="0" applyFont="1" applyBorder="1" applyAlignment="1" applyProtection="1">
      <alignment horizontal="left" vertical="center" shrinkToFit="1"/>
    </xf>
    <xf numFmtId="0" fontId="6" fillId="0" borderId="40" xfId="0" applyFont="1" applyBorder="1" applyAlignment="1" applyProtection="1">
      <alignment horizontal="left" vertical="center" shrinkToFit="1"/>
    </xf>
    <xf numFmtId="0" fontId="6" fillId="0" borderId="16" xfId="0" applyFont="1" applyBorder="1" applyAlignment="1" applyProtection="1">
      <alignment horizontal="left" vertical="center" shrinkToFit="1"/>
    </xf>
    <xf numFmtId="0" fontId="6" fillId="0" borderId="41" xfId="0" applyFont="1" applyBorder="1" applyAlignment="1" applyProtection="1">
      <alignment horizontal="left" vertical="center" shrinkToFit="1"/>
    </xf>
    <xf numFmtId="0" fontId="6" fillId="0" borderId="46" xfId="0" applyFont="1" applyBorder="1" applyAlignment="1" applyProtection="1">
      <alignment horizontal="left" vertical="center" shrinkToFit="1"/>
    </xf>
    <xf numFmtId="0" fontId="6" fillId="0" borderId="12" xfId="0" applyFont="1" applyBorder="1" applyAlignment="1" applyProtection="1">
      <alignment horizontal="left" vertical="center" shrinkToFit="1"/>
    </xf>
    <xf numFmtId="0" fontId="6" fillId="0" borderId="47" xfId="0" applyFont="1" applyBorder="1" applyAlignment="1" applyProtection="1">
      <alignment horizontal="left" vertical="center" shrinkToFit="1"/>
    </xf>
    <xf numFmtId="0" fontId="9" fillId="0" borderId="2" xfId="0" applyFont="1" applyFill="1" applyBorder="1" applyAlignment="1" applyProtection="1">
      <alignment horizontal="center" vertical="center" shrinkToFit="1"/>
    </xf>
    <xf numFmtId="0" fontId="8" fillId="2" borderId="32" xfId="0" applyFont="1" applyFill="1" applyBorder="1" applyAlignment="1" applyProtection="1">
      <alignment horizontal="center" vertical="center"/>
    </xf>
    <xf numFmtId="0" fontId="8" fillId="2" borderId="35" xfId="0" applyFont="1" applyFill="1" applyBorder="1" applyAlignment="1" applyProtection="1">
      <alignment horizontal="center" vertical="center"/>
    </xf>
    <xf numFmtId="0" fontId="8" fillId="2" borderId="38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6" fillId="0" borderId="16" xfId="0" applyFont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left" vertical="center"/>
    </xf>
    <xf numFmtId="0" fontId="6" fillId="2" borderId="44" xfId="0" applyFont="1" applyFill="1" applyBorder="1" applyAlignment="1" applyProtection="1">
      <alignment horizontal="left" shrinkToFit="1"/>
    </xf>
    <xf numFmtId="0" fontId="6" fillId="2" borderId="22" xfId="0" applyFont="1" applyFill="1" applyBorder="1" applyAlignment="1" applyProtection="1">
      <alignment horizontal="left" shrinkToFit="1"/>
    </xf>
    <xf numFmtId="0" fontId="6" fillId="2" borderId="45" xfId="0" applyFont="1" applyFill="1" applyBorder="1" applyAlignment="1" applyProtection="1">
      <alignment horizontal="left" shrinkToFit="1"/>
    </xf>
    <xf numFmtId="0" fontId="6" fillId="0" borderId="34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left" vertical="center" shrinkToFit="1"/>
    </xf>
    <xf numFmtId="0" fontId="6" fillId="0" borderId="33" xfId="0" applyFont="1" applyBorder="1" applyAlignment="1" applyProtection="1">
      <alignment horizontal="left" vertical="center" shrinkToFit="1"/>
    </xf>
    <xf numFmtId="0" fontId="6" fillId="0" borderId="57" xfId="0" applyFont="1" applyBorder="1" applyAlignment="1" applyProtection="1">
      <alignment horizontal="left" vertical="center"/>
    </xf>
    <xf numFmtId="0" fontId="6" fillId="0" borderId="28" xfId="0" applyFont="1" applyBorder="1" applyAlignment="1" applyProtection="1">
      <alignment horizontal="left" vertical="center"/>
    </xf>
    <xf numFmtId="0" fontId="6" fillId="2" borderId="44" xfId="0" applyFont="1" applyFill="1" applyBorder="1" applyAlignment="1" applyProtection="1">
      <alignment horizontal="left"/>
    </xf>
    <xf numFmtId="0" fontId="6" fillId="2" borderId="22" xfId="0" applyFont="1" applyFill="1" applyBorder="1" applyAlignment="1" applyProtection="1">
      <alignment horizontal="left"/>
    </xf>
    <xf numFmtId="0" fontId="6" fillId="2" borderId="45" xfId="0" applyFont="1" applyFill="1" applyBorder="1" applyAlignment="1" applyProtection="1">
      <alignment horizontal="left"/>
    </xf>
    <xf numFmtId="0" fontId="6" fillId="0" borderId="34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33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6" fillId="2" borderId="23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7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123825</xdr:colOff>
      <xdr:row>2</xdr:row>
      <xdr:rowOff>0</xdr:rowOff>
    </xdr:to>
    <xdr:pic>
      <xdr:nvPicPr>
        <xdr:cNvPr id="5133" name="Picture 13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31"/>
      <c r="B1" s="31"/>
      <c r="C1" s="32"/>
      <c r="D1" s="128"/>
      <c r="E1" s="128"/>
      <c r="F1" s="53"/>
      <c r="G1" s="140" t="s">
        <v>42</v>
      </c>
      <c r="H1" s="140"/>
      <c r="I1" s="140"/>
      <c r="J1" s="140"/>
      <c r="K1" s="140"/>
      <c r="L1" s="140"/>
      <c r="M1" s="140"/>
      <c r="N1" s="140"/>
      <c r="O1" s="140"/>
      <c r="P1" s="59"/>
      <c r="Q1" s="203"/>
      <c r="R1" s="204"/>
      <c r="S1" s="20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31"/>
      <c r="B2" s="31"/>
      <c r="C2" s="32"/>
      <c r="D2" s="129"/>
      <c r="E2" s="129"/>
      <c r="F2" s="52"/>
      <c r="G2" s="141" t="s">
        <v>43</v>
      </c>
      <c r="H2" s="142"/>
      <c r="I2" s="142"/>
      <c r="J2" s="142"/>
      <c r="K2" s="142"/>
      <c r="L2" s="142"/>
      <c r="M2" s="142"/>
      <c r="N2" s="142"/>
      <c r="O2" s="143"/>
      <c r="P2" s="50"/>
      <c r="Q2" s="203"/>
      <c r="R2" s="204"/>
      <c r="S2" s="20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62" customFormat="1" ht="3" customHeight="1" thickBot="1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8"/>
      <c r="U3" s="48"/>
      <c r="V3" s="48"/>
      <c r="W3" s="48"/>
      <c r="X3" s="48"/>
      <c r="Y3" s="48"/>
      <c r="Z3" s="48"/>
      <c r="AA3" s="48"/>
      <c r="AB3" s="61"/>
    </row>
    <row r="4" spans="1:29" ht="12.75" customHeight="1">
      <c r="A4" s="138" t="s">
        <v>35</v>
      </c>
      <c r="B4" s="139"/>
      <c r="C4" s="139"/>
      <c r="D4" s="67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/>
      <c r="P4" s="51"/>
      <c r="Q4" s="206" t="s">
        <v>36</v>
      </c>
      <c r="R4" s="206"/>
      <c r="S4" s="20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2"/>
      <c r="P5" s="51"/>
      <c r="Q5" s="39"/>
      <c r="R5" s="39"/>
      <c r="S5" s="39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133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5"/>
      <c r="P6" s="51"/>
      <c r="Q6" s="39"/>
      <c r="R6" s="39"/>
      <c r="S6" s="39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126" t="s">
        <v>10</v>
      </c>
      <c r="R7" s="126"/>
      <c r="S7" s="126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122" t="s">
        <v>37</v>
      </c>
      <c r="B8" s="123"/>
      <c r="C8" s="123"/>
      <c r="D8" s="69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/>
      <c r="P8" s="51"/>
      <c r="Q8" s="127" t="s">
        <v>38</v>
      </c>
      <c r="R8" s="127"/>
      <c r="S8" s="127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77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9"/>
      <c r="P9" s="38"/>
      <c r="Q9" s="182">
        <v>70</v>
      </c>
      <c r="R9" s="183"/>
      <c r="S9" s="184"/>
      <c r="T9" s="4"/>
      <c r="U9" s="4"/>
      <c r="V9" s="4"/>
      <c r="W9" s="4"/>
      <c r="X9" s="4"/>
      <c r="Y9" s="5"/>
      <c r="Z9" s="5"/>
      <c r="AA9" s="5"/>
      <c r="AB9" s="10"/>
    </row>
    <row r="10" spans="1:29" s="62" customFormat="1" ht="5.25" customHeight="1">
      <c r="A10" s="46"/>
      <c r="B10" s="46"/>
      <c r="C10" s="47"/>
      <c r="D10" s="47"/>
      <c r="E10" s="47"/>
      <c r="F10" s="47"/>
      <c r="G10" s="48"/>
      <c r="H10" s="48"/>
      <c r="I10" s="48"/>
      <c r="J10" s="60"/>
      <c r="K10" s="60"/>
      <c r="L10" s="60"/>
      <c r="M10" s="60"/>
      <c r="N10" s="60"/>
      <c r="O10" s="60"/>
      <c r="P10" s="60"/>
      <c r="Q10" s="49"/>
      <c r="R10" s="49"/>
      <c r="S10" s="49"/>
      <c r="T10" s="48"/>
      <c r="U10" s="48"/>
      <c r="V10" s="48"/>
      <c r="W10" s="48"/>
      <c r="X10" s="48"/>
      <c r="Y10" s="48"/>
      <c r="Z10" s="48"/>
      <c r="AA10" s="48"/>
      <c r="AB10" s="61"/>
    </row>
    <row r="11" spans="1:29" ht="12" customHeight="1">
      <c r="A11" s="211" t="s">
        <v>28</v>
      </c>
      <c r="B11" s="212"/>
      <c r="C11" s="212"/>
      <c r="D11" s="212"/>
      <c r="E11" s="212"/>
      <c r="F11" s="212"/>
      <c r="G11" s="212"/>
      <c r="H11" s="212"/>
      <c r="I11" s="213"/>
      <c r="J11" s="16" t="s">
        <v>10</v>
      </c>
      <c r="K11" s="17"/>
      <c r="L11" s="16" t="s">
        <v>11</v>
      </c>
      <c r="M11" s="18"/>
      <c r="N11" s="16" t="s">
        <v>14</v>
      </c>
      <c r="O11" s="16" t="s">
        <v>16</v>
      </c>
      <c r="P11" s="16"/>
      <c r="Q11" s="207" t="s">
        <v>15</v>
      </c>
      <c r="R11" s="207"/>
      <c r="S11" s="20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57" t="s">
        <v>0</v>
      </c>
      <c r="B12" s="58"/>
      <c r="C12" s="180" t="s">
        <v>44</v>
      </c>
      <c r="D12" s="180"/>
      <c r="E12" s="180"/>
      <c r="F12" s="180"/>
      <c r="G12" s="180"/>
      <c r="H12" s="180"/>
      <c r="I12" s="181"/>
      <c r="J12" s="121">
        <v>1.67</v>
      </c>
      <c r="K12" s="20"/>
      <c r="L12" s="44" t="s">
        <v>45</v>
      </c>
      <c r="M12" s="21"/>
      <c r="N12" s="40">
        <f t="shared" ref="N12:N31" si="0">IF(C12=0," ",(J12/$J$33)*50)</f>
        <v>8.35</v>
      </c>
      <c r="O12" s="41">
        <f t="shared" ref="O12:O31" si="1">IF(C12=0," ",(J12/$J$33)*75)</f>
        <v>12.524999999999999</v>
      </c>
      <c r="P12" s="41"/>
      <c r="Q12" s="168">
        <f t="shared" ref="Q12:Q31" si="2">IF(C12=0," ",(J12/$J$33)*$Q$9)</f>
        <v>11.69</v>
      </c>
      <c r="R12" s="168"/>
      <c r="S12" s="169"/>
      <c r="U12" s="9"/>
      <c r="V12" s="9"/>
    </row>
    <row r="13" spans="1:29" ht="12.75" customHeight="1">
      <c r="A13" s="63" t="s">
        <v>1</v>
      </c>
      <c r="B13" s="64"/>
      <c r="C13" s="170" t="s">
        <v>46</v>
      </c>
      <c r="D13" s="170"/>
      <c r="E13" s="170"/>
      <c r="F13" s="170"/>
      <c r="G13" s="170"/>
      <c r="H13" s="170"/>
      <c r="I13" s="171"/>
      <c r="J13" s="121">
        <v>3.33</v>
      </c>
      <c r="K13" s="20"/>
      <c r="L13" s="45" t="s">
        <v>45</v>
      </c>
      <c r="M13" s="21"/>
      <c r="N13" s="40">
        <f t="shared" si="0"/>
        <v>16.650000000000002</v>
      </c>
      <c r="O13" s="41">
        <f t="shared" si="1"/>
        <v>24.975000000000001</v>
      </c>
      <c r="P13" s="41"/>
      <c r="Q13" s="168">
        <f>IF(C13=0," ",(J13/$J$33)*$Q$9)</f>
        <v>23.310000000000002</v>
      </c>
      <c r="R13" s="168"/>
      <c r="S13" s="169"/>
      <c r="U13" s="9"/>
      <c r="V13" s="9"/>
    </row>
    <row r="14" spans="1:29" ht="12.75" customHeight="1">
      <c r="A14" s="63" t="s">
        <v>2</v>
      </c>
      <c r="B14" s="64"/>
      <c r="C14" s="170" t="s">
        <v>47</v>
      </c>
      <c r="D14" s="170"/>
      <c r="E14" s="170"/>
      <c r="F14" s="170"/>
      <c r="G14" s="170"/>
      <c r="H14" s="170"/>
      <c r="I14" s="171"/>
      <c r="J14" s="121">
        <v>3.33</v>
      </c>
      <c r="K14" s="20"/>
      <c r="L14" s="45" t="s">
        <v>48</v>
      </c>
      <c r="M14" s="21"/>
      <c r="N14" s="40">
        <f t="shared" si="0"/>
        <v>16.650000000000002</v>
      </c>
      <c r="O14" s="41">
        <f t="shared" si="1"/>
        <v>24.975000000000001</v>
      </c>
      <c r="P14" s="41"/>
      <c r="Q14" s="168">
        <f>IF(C14=0," ",(J14/$J$33)*$Q$9)</f>
        <v>23.310000000000002</v>
      </c>
      <c r="R14" s="168"/>
      <c r="S14" s="169"/>
      <c r="U14" s="9"/>
      <c r="V14" s="9"/>
    </row>
    <row r="15" spans="1:29" ht="12.75" customHeight="1">
      <c r="A15" s="63" t="s">
        <v>3</v>
      </c>
      <c r="B15" s="64"/>
      <c r="C15" s="170" t="s">
        <v>49</v>
      </c>
      <c r="D15" s="170"/>
      <c r="E15" s="170"/>
      <c r="F15" s="170"/>
      <c r="G15" s="170"/>
      <c r="H15" s="170"/>
      <c r="I15" s="171"/>
      <c r="J15" s="121">
        <v>1.76</v>
      </c>
      <c r="K15" s="20"/>
      <c r="L15" s="45" t="s">
        <v>50</v>
      </c>
      <c r="M15" s="19"/>
      <c r="N15" s="40">
        <f t="shared" si="0"/>
        <v>8.7999999999999989</v>
      </c>
      <c r="O15" s="41">
        <f t="shared" si="1"/>
        <v>13.2</v>
      </c>
      <c r="P15" s="41"/>
      <c r="Q15" s="168">
        <f>IF(C15=0," ",(J15/$J$33)*$Q$9)</f>
        <v>12.319999999999999</v>
      </c>
      <c r="R15" s="168"/>
      <c r="S15" s="169"/>
      <c r="U15" s="9"/>
      <c r="V15" s="9"/>
    </row>
    <row r="16" spans="1:29" ht="12.75" customHeight="1">
      <c r="A16" s="63" t="s">
        <v>4</v>
      </c>
      <c r="B16" s="64"/>
      <c r="C16" s="170" t="s">
        <v>51</v>
      </c>
      <c r="D16" s="170"/>
      <c r="E16" s="170"/>
      <c r="F16" s="170"/>
      <c r="G16" s="170"/>
      <c r="H16" s="170"/>
      <c r="I16" s="171"/>
      <c r="J16" s="121">
        <v>3.33</v>
      </c>
      <c r="K16" s="20"/>
      <c r="L16" s="45" t="s">
        <v>48</v>
      </c>
      <c r="M16" s="21"/>
      <c r="N16" s="40">
        <f t="shared" si="0"/>
        <v>16.650000000000002</v>
      </c>
      <c r="O16" s="41">
        <f t="shared" si="1"/>
        <v>24.975000000000001</v>
      </c>
      <c r="P16" s="41"/>
      <c r="Q16" s="168">
        <f t="shared" si="2"/>
        <v>23.310000000000002</v>
      </c>
      <c r="R16" s="168"/>
      <c r="S16" s="169"/>
      <c r="U16" s="9"/>
      <c r="V16" s="9"/>
    </row>
    <row r="17" spans="1:23" ht="12.75" customHeight="1">
      <c r="A17" s="63" t="s">
        <v>5</v>
      </c>
      <c r="B17" s="64"/>
      <c r="C17" s="170" t="s">
        <v>52</v>
      </c>
      <c r="D17" s="170"/>
      <c r="E17" s="170"/>
      <c r="F17" s="170"/>
      <c r="G17" s="170"/>
      <c r="H17" s="170"/>
      <c r="I17" s="171"/>
      <c r="J17" s="121">
        <v>5</v>
      </c>
      <c r="K17" s="20"/>
      <c r="L17" s="45" t="s">
        <v>53</v>
      </c>
      <c r="M17" s="21"/>
      <c r="N17" s="40">
        <f t="shared" si="0"/>
        <v>25</v>
      </c>
      <c r="O17" s="41">
        <f t="shared" si="1"/>
        <v>37.5</v>
      </c>
      <c r="P17" s="41"/>
      <c r="Q17" s="168">
        <f>IF(C17=0," ",(J17/$J$33)*$Q$9)</f>
        <v>35</v>
      </c>
      <c r="R17" s="168"/>
      <c r="S17" s="169"/>
      <c r="U17" s="9"/>
      <c r="V17" s="9"/>
    </row>
    <row r="18" spans="1:23" ht="12.75" customHeight="1">
      <c r="A18" s="63" t="s">
        <v>6</v>
      </c>
      <c r="B18" s="64"/>
      <c r="C18" s="170" t="s">
        <v>54</v>
      </c>
      <c r="D18" s="170"/>
      <c r="E18" s="170"/>
      <c r="F18" s="170"/>
      <c r="G18" s="170"/>
      <c r="H18" s="170"/>
      <c r="I18" s="171"/>
      <c r="J18" s="121">
        <v>0.83</v>
      </c>
      <c r="K18" s="20"/>
      <c r="L18" s="45" t="s">
        <v>53</v>
      </c>
      <c r="M18" s="21"/>
      <c r="N18" s="40">
        <f t="shared" si="0"/>
        <v>4.1499999999999995</v>
      </c>
      <c r="O18" s="41">
        <f t="shared" si="1"/>
        <v>6.2249999999999996</v>
      </c>
      <c r="P18" s="41"/>
      <c r="Q18" s="168">
        <f t="shared" si="2"/>
        <v>5.81</v>
      </c>
      <c r="R18" s="168"/>
      <c r="S18" s="169"/>
      <c r="U18" s="9"/>
      <c r="V18" s="9"/>
    </row>
    <row r="19" spans="1:23" ht="12.75" customHeight="1">
      <c r="A19" s="63" t="s">
        <v>7</v>
      </c>
      <c r="B19" s="64"/>
      <c r="C19" s="170" t="s">
        <v>55</v>
      </c>
      <c r="D19" s="170"/>
      <c r="E19" s="170"/>
      <c r="F19" s="170"/>
      <c r="G19" s="170"/>
      <c r="H19" s="170"/>
      <c r="I19" s="171"/>
      <c r="J19" s="121">
        <v>0.83</v>
      </c>
      <c r="K19" s="20"/>
      <c r="L19" s="45" t="s">
        <v>50</v>
      </c>
      <c r="M19" s="21"/>
      <c r="N19" s="40">
        <f t="shared" si="0"/>
        <v>4.1499999999999995</v>
      </c>
      <c r="O19" s="41">
        <f t="shared" si="1"/>
        <v>6.2249999999999996</v>
      </c>
      <c r="P19" s="41"/>
      <c r="Q19" s="168">
        <f t="shared" si="2"/>
        <v>5.81</v>
      </c>
      <c r="R19" s="168"/>
      <c r="S19" s="169"/>
      <c r="U19" s="9"/>
      <c r="V19" s="9"/>
    </row>
    <row r="20" spans="1:23" ht="12.75" customHeight="1">
      <c r="A20" s="63" t="s">
        <v>8</v>
      </c>
      <c r="B20" s="64"/>
      <c r="C20" s="170" t="s">
        <v>56</v>
      </c>
      <c r="D20" s="170"/>
      <c r="E20" s="170"/>
      <c r="F20" s="170"/>
      <c r="G20" s="170"/>
      <c r="H20" s="170"/>
      <c r="I20" s="171"/>
      <c r="J20" s="121"/>
      <c r="K20" s="20"/>
      <c r="L20" s="45"/>
      <c r="M20" s="21"/>
      <c r="N20" s="40">
        <f t="shared" si="0"/>
        <v>0</v>
      </c>
      <c r="O20" s="41">
        <f t="shared" si="1"/>
        <v>0</v>
      </c>
      <c r="P20" s="41"/>
      <c r="Q20" s="168">
        <f>IF(C20=0," ",(J20/$J$33)*$Q$9)</f>
        <v>0</v>
      </c>
      <c r="R20" s="168"/>
      <c r="S20" s="169"/>
      <c r="U20" s="9"/>
      <c r="V20" s="9"/>
    </row>
    <row r="21" spans="1:23" ht="12.75" customHeight="1">
      <c r="A21" s="63" t="s">
        <v>9</v>
      </c>
      <c r="B21" s="64"/>
      <c r="C21" s="170"/>
      <c r="D21" s="170"/>
      <c r="E21" s="170"/>
      <c r="F21" s="170"/>
      <c r="G21" s="170"/>
      <c r="H21" s="170"/>
      <c r="I21" s="171"/>
      <c r="J21" s="121"/>
      <c r="K21" s="20"/>
      <c r="L21" s="45"/>
      <c r="M21" s="21"/>
      <c r="N21" s="40" t="str">
        <f t="shared" si="0"/>
        <v xml:space="preserve"> </v>
      </c>
      <c r="O21" s="41" t="str">
        <f t="shared" si="1"/>
        <v xml:space="preserve"> </v>
      </c>
      <c r="P21" s="41"/>
      <c r="Q21" s="168" t="str">
        <f t="shared" si="2"/>
        <v xml:space="preserve"> </v>
      </c>
      <c r="R21" s="168"/>
      <c r="S21" s="169"/>
      <c r="U21" s="9"/>
      <c r="V21" s="9"/>
    </row>
    <row r="22" spans="1:23" ht="12.75" customHeight="1">
      <c r="A22" s="63" t="s">
        <v>17</v>
      </c>
      <c r="B22" s="64"/>
      <c r="C22" s="170"/>
      <c r="D22" s="170"/>
      <c r="E22" s="170"/>
      <c r="F22" s="170"/>
      <c r="G22" s="170"/>
      <c r="H22" s="170"/>
      <c r="I22" s="171"/>
      <c r="J22" s="121"/>
      <c r="K22" s="20"/>
      <c r="L22" s="45"/>
      <c r="M22" s="21"/>
      <c r="N22" s="40" t="str">
        <f t="shared" si="0"/>
        <v xml:space="preserve"> </v>
      </c>
      <c r="O22" s="41" t="str">
        <f t="shared" si="1"/>
        <v xml:space="preserve"> </v>
      </c>
      <c r="P22" s="41"/>
      <c r="Q22" s="168" t="str">
        <f t="shared" si="2"/>
        <v xml:space="preserve"> </v>
      </c>
      <c r="R22" s="168"/>
      <c r="S22" s="169"/>
      <c r="U22" s="9"/>
      <c r="V22" s="9"/>
      <c r="W22" s="9"/>
    </row>
    <row r="23" spans="1:23" ht="12.75" customHeight="1">
      <c r="A23" s="63" t="s">
        <v>18</v>
      </c>
      <c r="B23" s="64"/>
      <c r="C23" s="170"/>
      <c r="D23" s="170"/>
      <c r="E23" s="170"/>
      <c r="F23" s="170"/>
      <c r="G23" s="170"/>
      <c r="H23" s="170"/>
      <c r="I23" s="171"/>
      <c r="J23" s="121"/>
      <c r="K23" s="20"/>
      <c r="L23" s="45"/>
      <c r="M23" s="21"/>
      <c r="N23" s="40" t="str">
        <f t="shared" si="0"/>
        <v xml:space="preserve"> </v>
      </c>
      <c r="O23" s="41" t="str">
        <f t="shared" si="1"/>
        <v xml:space="preserve"> </v>
      </c>
      <c r="P23" s="41"/>
      <c r="Q23" s="168" t="str">
        <f>IF(C23=0," ",(J23/$J$33)*$Q$9)</f>
        <v xml:space="preserve"> </v>
      </c>
      <c r="R23" s="168"/>
      <c r="S23" s="169"/>
      <c r="U23" s="9"/>
      <c r="V23" s="9"/>
    </row>
    <row r="24" spans="1:23" ht="12.75" customHeight="1">
      <c r="A24" s="63" t="s">
        <v>19</v>
      </c>
      <c r="B24" s="64"/>
      <c r="C24" s="170"/>
      <c r="D24" s="170"/>
      <c r="E24" s="170"/>
      <c r="F24" s="170"/>
      <c r="G24" s="170"/>
      <c r="H24" s="170"/>
      <c r="I24" s="171"/>
      <c r="J24" s="121"/>
      <c r="K24" s="20"/>
      <c r="L24" s="45"/>
      <c r="M24" s="21"/>
      <c r="N24" s="40" t="str">
        <f t="shared" si="0"/>
        <v xml:space="preserve"> </v>
      </c>
      <c r="O24" s="41" t="str">
        <f t="shared" si="1"/>
        <v xml:space="preserve"> </v>
      </c>
      <c r="P24" s="41"/>
      <c r="Q24" s="168" t="str">
        <f t="shared" si="2"/>
        <v xml:space="preserve"> </v>
      </c>
      <c r="R24" s="168"/>
      <c r="S24" s="169"/>
      <c r="U24" s="9"/>
      <c r="V24" s="9"/>
    </row>
    <row r="25" spans="1:23" ht="12.75" customHeight="1">
      <c r="A25" s="63" t="s">
        <v>20</v>
      </c>
      <c r="B25" s="64"/>
      <c r="C25" s="170"/>
      <c r="D25" s="170"/>
      <c r="E25" s="170"/>
      <c r="F25" s="170"/>
      <c r="G25" s="170"/>
      <c r="H25" s="170"/>
      <c r="I25" s="171"/>
      <c r="J25" s="121"/>
      <c r="K25" s="20"/>
      <c r="L25" s="45"/>
      <c r="M25" s="21"/>
      <c r="N25" s="40" t="str">
        <f t="shared" si="0"/>
        <v xml:space="preserve"> </v>
      </c>
      <c r="O25" s="41" t="str">
        <f t="shared" si="1"/>
        <v xml:space="preserve"> </v>
      </c>
      <c r="P25" s="41"/>
      <c r="Q25" s="168" t="str">
        <f t="shared" si="2"/>
        <v xml:space="preserve"> </v>
      </c>
      <c r="R25" s="168"/>
      <c r="S25" s="169"/>
      <c r="U25" s="9"/>
      <c r="V25" s="9"/>
    </row>
    <row r="26" spans="1:23" ht="12.75" customHeight="1">
      <c r="A26" s="63" t="s">
        <v>21</v>
      </c>
      <c r="B26" s="64"/>
      <c r="C26" s="170"/>
      <c r="D26" s="170"/>
      <c r="E26" s="170"/>
      <c r="F26" s="170"/>
      <c r="G26" s="170"/>
      <c r="H26" s="170"/>
      <c r="I26" s="171"/>
      <c r="J26" s="121"/>
      <c r="K26" s="20"/>
      <c r="L26" s="45"/>
      <c r="M26" s="21"/>
      <c r="N26" s="40" t="str">
        <f t="shared" si="0"/>
        <v xml:space="preserve"> </v>
      </c>
      <c r="O26" s="41" t="str">
        <f t="shared" si="1"/>
        <v xml:space="preserve"> </v>
      </c>
      <c r="P26" s="41"/>
      <c r="Q26" s="168" t="str">
        <f t="shared" si="2"/>
        <v xml:space="preserve"> </v>
      </c>
      <c r="R26" s="168"/>
      <c r="S26" s="169"/>
    </row>
    <row r="27" spans="1:23" ht="12.75" customHeight="1">
      <c r="A27" s="63" t="s">
        <v>22</v>
      </c>
      <c r="B27" s="64"/>
      <c r="C27" s="170"/>
      <c r="D27" s="170"/>
      <c r="E27" s="170"/>
      <c r="F27" s="170"/>
      <c r="G27" s="170"/>
      <c r="H27" s="170"/>
      <c r="I27" s="171"/>
      <c r="J27" s="121"/>
      <c r="K27" s="20"/>
      <c r="L27" s="45"/>
      <c r="M27" s="21"/>
      <c r="N27" s="40" t="str">
        <f t="shared" si="0"/>
        <v xml:space="preserve"> </v>
      </c>
      <c r="O27" s="41" t="str">
        <f t="shared" si="1"/>
        <v xml:space="preserve"> </v>
      </c>
      <c r="P27" s="41"/>
      <c r="Q27" s="168" t="str">
        <f t="shared" si="2"/>
        <v xml:space="preserve"> </v>
      </c>
      <c r="R27" s="168"/>
      <c r="S27" s="169"/>
    </row>
    <row r="28" spans="1:23" ht="12.75" customHeight="1">
      <c r="A28" s="63" t="s">
        <v>23</v>
      </c>
      <c r="B28" s="64"/>
      <c r="C28" s="170"/>
      <c r="D28" s="170"/>
      <c r="E28" s="170"/>
      <c r="F28" s="170"/>
      <c r="G28" s="170"/>
      <c r="H28" s="170"/>
      <c r="I28" s="171"/>
      <c r="J28" s="121"/>
      <c r="K28" s="20"/>
      <c r="L28" s="45"/>
      <c r="M28" s="21"/>
      <c r="N28" s="40" t="str">
        <f t="shared" si="0"/>
        <v xml:space="preserve"> </v>
      </c>
      <c r="O28" s="41" t="str">
        <f t="shared" si="1"/>
        <v xml:space="preserve"> </v>
      </c>
      <c r="P28" s="41"/>
      <c r="Q28" s="168" t="str">
        <f t="shared" si="2"/>
        <v xml:space="preserve"> </v>
      </c>
      <c r="R28" s="168"/>
      <c r="S28" s="169"/>
    </row>
    <row r="29" spans="1:23" ht="12.75" customHeight="1">
      <c r="A29" s="63" t="s">
        <v>24</v>
      </c>
      <c r="B29" s="64"/>
      <c r="C29" s="170"/>
      <c r="D29" s="170"/>
      <c r="E29" s="170"/>
      <c r="F29" s="170"/>
      <c r="G29" s="170"/>
      <c r="H29" s="170"/>
      <c r="I29" s="171"/>
      <c r="J29" s="121"/>
      <c r="K29" s="20"/>
      <c r="L29" s="45"/>
      <c r="M29" s="21"/>
      <c r="N29" s="40" t="str">
        <f t="shared" si="0"/>
        <v xml:space="preserve"> </v>
      </c>
      <c r="O29" s="41" t="str">
        <f t="shared" si="1"/>
        <v xml:space="preserve"> </v>
      </c>
      <c r="P29" s="41"/>
      <c r="Q29" s="168" t="str">
        <f t="shared" si="2"/>
        <v xml:space="preserve"> </v>
      </c>
      <c r="R29" s="168"/>
      <c r="S29" s="169"/>
    </row>
    <row r="30" spans="1:23" ht="12.75" customHeight="1">
      <c r="A30" s="63" t="s">
        <v>25</v>
      </c>
      <c r="B30" s="64"/>
      <c r="C30" s="170"/>
      <c r="D30" s="170"/>
      <c r="E30" s="170"/>
      <c r="F30" s="170"/>
      <c r="G30" s="170"/>
      <c r="H30" s="170"/>
      <c r="I30" s="171"/>
      <c r="J30" s="121"/>
      <c r="K30" s="20"/>
      <c r="L30" s="45"/>
      <c r="M30" s="22"/>
      <c r="N30" s="40" t="str">
        <f t="shared" si="0"/>
        <v xml:space="preserve"> </v>
      </c>
      <c r="O30" s="41" t="str">
        <f t="shared" si="1"/>
        <v xml:space="preserve"> </v>
      </c>
      <c r="P30" s="41"/>
      <c r="Q30" s="168" t="str">
        <f t="shared" si="2"/>
        <v xml:space="preserve"> </v>
      </c>
      <c r="R30" s="168"/>
      <c r="S30" s="169"/>
    </row>
    <row r="31" spans="1:23" ht="12.75" customHeight="1">
      <c r="A31" s="65" t="s">
        <v>26</v>
      </c>
      <c r="B31" s="66"/>
      <c r="C31" s="192"/>
      <c r="D31" s="192"/>
      <c r="E31" s="192"/>
      <c r="F31" s="192"/>
      <c r="G31" s="192"/>
      <c r="H31" s="192"/>
      <c r="I31" s="193"/>
      <c r="J31" s="121"/>
      <c r="K31" s="23"/>
      <c r="L31" s="45"/>
      <c r="M31" s="22"/>
      <c r="N31" s="55" t="str">
        <f t="shared" si="0"/>
        <v xml:space="preserve"> </v>
      </c>
      <c r="O31" s="56" t="str">
        <f t="shared" si="1"/>
        <v xml:space="preserve"> </v>
      </c>
      <c r="P31" s="56"/>
      <c r="Q31" s="175" t="str">
        <f t="shared" si="2"/>
        <v xml:space="preserve"> </v>
      </c>
      <c r="R31" s="175"/>
      <c r="S31" s="176"/>
    </row>
    <row r="32" spans="1:23" ht="3.75" customHeight="1" thickBot="1">
      <c r="A32" s="42"/>
      <c r="B32" s="43"/>
      <c r="C32" s="24"/>
      <c r="D32" s="24"/>
      <c r="E32" s="24"/>
      <c r="F32" s="24"/>
      <c r="G32" s="24"/>
      <c r="H32" s="24"/>
      <c r="I32" s="24"/>
      <c r="J32" s="25"/>
      <c r="K32" s="26"/>
      <c r="L32" s="27"/>
      <c r="M32" s="27"/>
      <c r="N32" s="25"/>
      <c r="O32" s="25"/>
      <c r="P32" s="25"/>
      <c r="Q32" s="27"/>
      <c r="R32" s="27"/>
      <c r="S32" s="27"/>
    </row>
    <row r="33" spans="1:19" ht="14.25" customHeight="1" thickBot="1">
      <c r="A33" s="208" t="s">
        <v>27</v>
      </c>
      <c r="B33" s="209"/>
      <c r="C33" s="209"/>
      <c r="D33" s="209"/>
      <c r="E33" s="209"/>
      <c r="F33" s="209"/>
      <c r="G33" s="209"/>
      <c r="H33" s="209"/>
      <c r="I33" s="210"/>
      <c r="J33" s="194">
        <v>10</v>
      </c>
      <c r="K33" s="195"/>
      <c r="L33" s="196"/>
      <c r="M33" s="54"/>
      <c r="N33" s="28"/>
      <c r="O33" s="15"/>
      <c r="P33" s="15"/>
      <c r="Q33" s="29"/>
      <c r="R33" s="29"/>
      <c r="S33" s="30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72" t="s">
        <v>12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4"/>
    </row>
    <row r="37" spans="1:19" s="10" customFormat="1" ht="4.5" customHeight="1">
      <c r="A37" s="189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1"/>
    </row>
    <row r="38" spans="1:19" ht="11.45" customHeight="1">
      <c r="A38" s="197" t="s">
        <v>57</v>
      </c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9"/>
    </row>
    <row r="39" spans="1:19" ht="11.45" customHeight="1">
      <c r="A39" s="200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2"/>
    </row>
    <row r="40" spans="1:19" ht="11.45" customHeight="1">
      <c r="A40" s="200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2"/>
    </row>
    <row r="41" spans="1:19" ht="11.45" customHeight="1">
      <c r="A41" s="200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2"/>
    </row>
    <row r="42" spans="1:19" ht="11.45" customHeight="1">
      <c r="A42" s="200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2"/>
    </row>
    <row r="43" spans="1:19" ht="11.45" customHeight="1">
      <c r="A43" s="200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2"/>
    </row>
    <row r="44" spans="1:19" ht="11.45" customHeight="1">
      <c r="A44" s="200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2"/>
    </row>
    <row r="45" spans="1:19" ht="11.45" customHeight="1">
      <c r="A45" s="200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2"/>
    </row>
    <row r="46" spans="1:19" ht="11.45" customHeight="1">
      <c r="A46" s="200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2"/>
    </row>
    <row r="47" spans="1:19" ht="11.45" customHeight="1">
      <c r="A47" s="200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2"/>
    </row>
    <row r="48" spans="1:19" ht="11.45" customHeight="1" thickBot="1">
      <c r="A48" s="150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47" t="s">
        <v>29</v>
      </c>
      <c r="M48" s="148"/>
      <c r="N48" s="148"/>
      <c r="O48" s="148"/>
      <c r="P48" s="148"/>
      <c r="Q48" s="148"/>
      <c r="R48" s="148"/>
      <c r="S48" s="188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72" t="s">
        <v>13</v>
      </c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4"/>
    </row>
    <row r="51" spans="1:21" s="10" customFormat="1" ht="4.5" customHeight="1">
      <c r="A51" s="189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1"/>
    </row>
    <row r="52" spans="1:21" ht="11.25" customHeight="1">
      <c r="A52" s="185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7"/>
    </row>
    <row r="53" spans="1:21" ht="13.5" thickBot="1">
      <c r="A53" s="144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6"/>
    </row>
    <row r="54" spans="1:21" ht="11.25" customHeight="1">
      <c r="A54" s="144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56" t="str">
        <f>IF(Q1=0, " ", Q1)</f>
        <v xml:space="preserve"> </v>
      </c>
      <c r="S54" s="157"/>
    </row>
    <row r="55" spans="1:21" ht="11.25" customHeight="1">
      <c r="A55" s="144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58"/>
      <c r="S55" s="159"/>
    </row>
    <row r="56" spans="1:21" ht="11.25" customHeight="1" thickBo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60"/>
      <c r="S56" s="161"/>
    </row>
    <row r="57" spans="1:21" ht="11.25" customHeight="1">
      <c r="A57" s="144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62" t="str">
        <f>IF(Q2=0, " ", Q2)</f>
        <v xml:space="preserve"> </v>
      </c>
      <c r="S57" s="163"/>
    </row>
    <row r="58" spans="1:21" ht="11.25" customHeight="1">
      <c r="A58" s="152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4"/>
      <c r="R58" s="164"/>
      <c r="S58" s="165"/>
      <c r="T58" s="10"/>
      <c r="U58" s="10"/>
    </row>
    <row r="59" spans="1:21" ht="11.25" customHeight="1">
      <c r="A59" s="144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55"/>
      <c r="M59" s="155"/>
      <c r="N59" s="155"/>
      <c r="O59" s="155"/>
      <c r="P59" s="155"/>
      <c r="Q59" s="155"/>
      <c r="R59" s="164"/>
      <c r="S59" s="165"/>
    </row>
    <row r="60" spans="1:21" ht="11.25" customHeight="1" thickBot="1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47" t="s">
        <v>30</v>
      </c>
      <c r="M60" s="148"/>
      <c r="N60" s="148"/>
      <c r="O60" s="148"/>
      <c r="P60" s="148"/>
      <c r="Q60" s="149"/>
      <c r="R60" s="166"/>
      <c r="S60" s="167"/>
    </row>
    <row r="61" spans="1:21" ht="11.25" customHeight="1"/>
  </sheetData>
  <mergeCells count="80">
    <mergeCell ref="Q19:S19"/>
    <mergeCell ref="C17:I17"/>
    <mergeCell ref="A33:I33"/>
    <mergeCell ref="C28:I28"/>
    <mergeCell ref="A11:I11"/>
    <mergeCell ref="Q18:S18"/>
    <mergeCell ref="C21:I21"/>
    <mergeCell ref="C23:I23"/>
    <mergeCell ref="C18:I18"/>
    <mergeCell ref="Q27:S27"/>
    <mergeCell ref="Q28:S28"/>
    <mergeCell ref="J33:L33"/>
    <mergeCell ref="A38:S47"/>
    <mergeCell ref="Q1:S1"/>
    <mergeCell ref="Q2:S2"/>
    <mergeCell ref="Q4:S4"/>
    <mergeCell ref="Q17:S17"/>
    <mergeCell ref="Q11:S11"/>
    <mergeCell ref="Q13:S13"/>
    <mergeCell ref="Q14:S14"/>
    <mergeCell ref="Q12:S12"/>
    <mergeCell ref="L48:S48"/>
    <mergeCell ref="A51:S51"/>
    <mergeCell ref="A37:S37"/>
    <mergeCell ref="C24:I24"/>
    <mergeCell ref="Q24:S24"/>
    <mergeCell ref="C25:I25"/>
    <mergeCell ref="Q25:S25"/>
    <mergeCell ref="Q26:S26"/>
    <mergeCell ref="C31:I31"/>
    <mergeCell ref="C27:I27"/>
    <mergeCell ref="A9:O9"/>
    <mergeCell ref="Q16:S16"/>
    <mergeCell ref="C16:I16"/>
    <mergeCell ref="C12:I12"/>
    <mergeCell ref="C13:I13"/>
    <mergeCell ref="C14:I14"/>
    <mergeCell ref="C15:I15"/>
    <mergeCell ref="Q15:S15"/>
    <mergeCell ref="Q9:S9"/>
    <mergeCell ref="C19:I19"/>
    <mergeCell ref="A36:S36"/>
    <mergeCell ref="Q30:S30"/>
    <mergeCell ref="Q31:S31"/>
    <mergeCell ref="Q29:S29"/>
    <mergeCell ref="C29:I29"/>
    <mergeCell ref="C30:I30"/>
    <mergeCell ref="Q21:S21"/>
    <mergeCell ref="C22:I22"/>
    <mergeCell ref="C26:I26"/>
    <mergeCell ref="R54:S56"/>
    <mergeCell ref="R57:S60"/>
    <mergeCell ref="Q22:S22"/>
    <mergeCell ref="Q20:S20"/>
    <mergeCell ref="C20:I20"/>
    <mergeCell ref="Q23:S23"/>
    <mergeCell ref="A54:Q54"/>
    <mergeCell ref="A52:S52"/>
    <mergeCell ref="A48:K48"/>
    <mergeCell ref="A50:S50"/>
    <mergeCell ref="G1:O1"/>
    <mergeCell ref="G2:O2"/>
    <mergeCell ref="A53:S53"/>
    <mergeCell ref="L60:Q60"/>
    <mergeCell ref="A60:K60"/>
    <mergeCell ref="A58:Q58"/>
    <mergeCell ref="A59:Q59"/>
    <mergeCell ref="A55:Q55"/>
    <mergeCell ref="A56:Q56"/>
    <mergeCell ref="A57:Q57"/>
    <mergeCell ref="A8:C8"/>
    <mergeCell ref="E8:O8"/>
    <mergeCell ref="Q7:S7"/>
    <mergeCell ref="Q8:S8"/>
    <mergeCell ref="D1:E1"/>
    <mergeCell ref="D2:E2"/>
    <mergeCell ref="A5:O5"/>
    <mergeCell ref="A6:O6"/>
    <mergeCell ref="E4:O4"/>
    <mergeCell ref="A4:C4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Header>&amp;L&amp;"Tahoma,Regular"&amp;14          &amp;D</oddHeader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54"/>
  <sheetViews>
    <sheetView zoomScaleNormal="75" zoomScaleSheetLayoutView="100" workbookViewId="0">
      <selection activeCell="A17" sqref="A17:K17"/>
    </sheetView>
  </sheetViews>
  <sheetFormatPr defaultRowHeight="11.25" customHeight="1"/>
  <cols>
    <col min="1" max="2" width="9.140625" style="7"/>
    <col min="3" max="3" width="10.28515625" style="7" customWidth="1"/>
    <col min="4" max="4" width="0.7109375" style="7" customWidth="1"/>
    <col min="5" max="5" width="9.140625" style="7"/>
    <col min="6" max="6" width="13.140625" style="7" customWidth="1"/>
    <col min="7" max="7" width="8.7109375" style="7" customWidth="1"/>
    <col min="8" max="8" width="9.140625" style="7"/>
    <col min="9" max="9" width="0.7109375" style="7" customWidth="1"/>
    <col min="10" max="10" width="10.42578125" style="7" customWidth="1"/>
    <col min="11" max="16384" width="9.140625" style="7"/>
  </cols>
  <sheetData>
    <row r="1" spans="1:11" ht="15" customHeight="1">
      <c r="A1" s="220" t="s">
        <v>32</v>
      </c>
      <c r="B1" s="221"/>
      <c r="C1" s="221"/>
      <c r="D1" s="36"/>
      <c r="E1" s="235" t="str">
        <f>IF(('recipe form'!G1)=0," ",'recipe form'!G1)</f>
        <v>Fried Chicken</v>
      </c>
      <c r="F1" s="235"/>
      <c r="G1" s="235"/>
      <c r="H1" s="235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>
      <c r="A3" s="232"/>
      <c r="B3" s="233"/>
      <c r="C3" s="233"/>
      <c r="D3" s="233"/>
      <c r="E3" s="233"/>
      <c r="F3" s="233"/>
      <c r="G3" s="233"/>
      <c r="H3" s="233"/>
      <c r="I3" s="233"/>
      <c r="J3" s="233"/>
      <c r="K3" s="234"/>
    </row>
    <row r="4" spans="1:11" ht="11.25" customHeight="1">
      <c r="A4" s="226" t="str">
        <f>IF('recipe form'!A39=0, " ",'recipe form'!A39)</f>
        <v xml:space="preserve"> 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</row>
    <row r="5" spans="1:11" ht="11.25" customHeight="1">
      <c r="A5" s="226" t="str">
        <f>IF('recipe form'!A40=0, " ",'recipe form'!A40)</f>
        <v xml:space="preserve"> 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</row>
    <row r="6" spans="1:11" ht="11.25" customHeight="1">
      <c r="A6" s="226" t="str">
        <f>IF('recipe form'!A41=0, " ",'recipe form'!A41)</f>
        <v xml:space="preserve"> </v>
      </c>
      <c r="B6" s="227"/>
      <c r="C6" s="227"/>
      <c r="D6" s="227"/>
      <c r="E6" s="227"/>
      <c r="F6" s="227"/>
      <c r="G6" s="227"/>
      <c r="H6" s="227"/>
      <c r="I6" s="227"/>
      <c r="J6" s="227"/>
      <c r="K6" s="228"/>
    </row>
    <row r="7" spans="1:11" ht="11.25" customHeight="1">
      <c r="A7" s="226" t="str">
        <f>IF('recipe form'!A42=0, " ",'recipe form'!A42)</f>
        <v xml:space="preserve"> </v>
      </c>
      <c r="B7" s="227"/>
      <c r="C7" s="227"/>
      <c r="D7" s="227"/>
      <c r="E7" s="227"/>
      <c r="F7" s="227"/>
      <c r="G7" s="227"/>
      <c r="H7" s="227"/>
      <c r="I7" s="227"/>
      <c r="J7" s="227"/>
      <c r="K7" s="228"/>
    </row>
    <row r="8" spans="1:11" ht="11.25" customHeight="1">
      <c r="A8" s="226" t="str">
        <f>IF('recipe form'!A43=0, " ",'recipe form'!A43)</f>
        <v xml:space="preserve"> </v>
      </c>
      <c r="B8" s="227"/>
      <c r="C8" s="227"/>
      <c r="D8" s="227"/>
      <c r="E8" s="227"/>
      <c r="F8" s="227"/>
      <c r="G8" s="227"/>
      <c r="H8" s="227"/>
      <c r="I8" s="227"/>
      <c r="J8" s="227"/>
      <c r="K8" s="228"/>
    </row>
    <row r="9" spans="1:11" ht="11.25" customHeight="1">
      <c r="A9" s="226" t="str">
        <f>IF('recipe form'!A44=0, " ",'recipe form'!A44)</f>
        <v xml:space="preserve"> </v>
      </c>
      <c r="B9" s="227"/>
      <c r="C9" s="227"/>
      <c r="D9" s="227"/>
      <c r="E9" s="227"/>
      <c r="F9" s="227"/>
      <c r="G9" s="227"/>
      <c r="H9" s="227"/>
      <c r="I9" s="227"/>
      <c r="J9" s="227"/>
      <c r="K9" s="228"/>
    </row>
    <row r="10" spans="1:11" ht="11.25" customHeight="1">
      <c r="A10" s="226" t="str">
        <f>IF('recipe form'!A45=0, " ",'recipe form'!A45)</f>
        <v xml:space="preserve"> </v>
      </c>
      <c r="B10" s="227"/>
      <c r="C10" s="227"/>
      <c r="D10" s="227"/>
      <c r="E10" s="227"/>
      <c r="F10" s="227"/>
      <c r="G10" s="227"/>
      <c r="H10" s="227"/>
      <c r="I10" s="227"/>
      <c r="J10" s="227"/>
      <c r="K10" s="228"/>
    </row>
    <row r="11" spans="1:11" ht="11.25" customHeight="1">
      <c r="A11" s="226" t="str">
        <f>IF('recipe form'!A46=0, " ",'recipe form'!A46)</f>
        <v xml:space="preserve"> 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8"/>
    </row>
    <row r="12" spans="1:11" ht="11.25" customHeight="1">
      <c r="A12" s="226" t="str">
        <f>IF('recipe form'!A47=0, " ",'recipe form'!A47)</f>
        <v xml:space="preserve"> </v>
      </c>
      <c r="B12" s="227"/>
      <c r="C12" s="227"/>
      <c r="D12" s="227"/>
      <c r="E12" s="227"/>
      <c r="F12" s="227"/>
      <c r="G12" s="227"/>
      <c r="H12" s="227"/>
      <c r="I12" s="227"/>
      <c r="J12" s="227"/>
      <c r="K12" s="228"/>
    </row>
    <row r="13" spans="1:11" ht="11.25" customHeight="1">
      <c r="A13" s="229" t="str">
        <f>IF('recipe form'!A48:K48=0, " ",'recipe form'!A48:K48)</f>
        <v xml:space="preserve"> </v>
      </c>
      <c r="B13" s="230"/>
      <c r="C13" s="230"/>
      <c r="D13" s="230"/>
      <c r="E13" s="230"/>
      <c r="F13" s="230"/>
      <c r="G13" s="230"/>
      <c r="H13" s="230"/>
      <c r="I13" s="230"/>
      <c r="J13" s="230"/>
      <c r="K13" s="231"/>
    </row>
    <row r="14" spans="1:11" ht="4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5" customHeight="1">
      <c r="A15" s="220" t="s">
        <v>33</v>
      </c>
      <c r="B15" s="221"/>
      <c r="C15" s="221"/>
      <c r="D15" s="221"/>
      <c r="E15" s="221"/>
      <c r="F15" s="221"/>
      <c r="G15" s="221"/>
      <c r="H15" s="221"/>
      <c r="I15" s="221"/>
      <c r="J15" s="221"/>
      <c r="K15" s="222"/>
    </row>
    <row r="16" spans="1:11" s="9" customFormat="1" ht="4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2.75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5"/>
    </row>
    <row r="18" spans="1:11" ht="12.75">
      <c r="A18" s="214"/>
      <c r="B18" s="215"/>
      <c r="C18" s="215"/>
      <c r="D18" s="215"/>
      <c r="E18" s="215"/>
      <c r="F18" s="215"/>
      <c r="G18" s="215"/>
      <c r="H18" s="215"/>
      <c r="I18" s="215"/>
      <c r="J18" s="215"/>
      <c r="K18" s="216"/>
    </row>
    <row r="19" spans="1:11" ht="12.75">
      <c r="A19" s="214"/>
      <c r="B19" s="215"/>
      <c r="C19" s="215"/>
      <c r="D19" s="215"/>
      <c r="E19" s="215"/>
      <c r="F19" s="215"/>
      <c r="G19" s="215"/>
      <c r="H19" s="215"/>
      <c r="I19" s="215"/>
      <c r="J19" s="215"/>
      <c r="K19" s="216"/>
    </row>
    <row r="20" spans="1:11" ht="12.75">
      <c r="A20" s="214"/>
      <c r="B20" s="215"/>
      <c r="C20" s="215"/>
      <c r="D20" s="215"/>
      <c r="E20" s="215"/>
      <c r="F20" s="215"/>
      <c r="G20" s="215"/>
      <c r="H20" s="215"/>
      <c r="I20" s="215"/>
      <c r="J20" s="215"/>
      <c r="K20" s="216"/>
    </row>
    <row r="21" spans="1:11" ht="12.75">
      <c r="A21" s="214"/>
      <c r="B21" s="215"/>
      <c r="C21" s="215"/>
      <c r="D21" s="215"/>
      <c r="E21" s="215"/>
      <c r="F21" s="215"/>
      <c r="G21" s="215"/>
      <c r="H21" s="215"/>
      <c r="I21" s="215"/>
      <c r="J21" s="215"/>
      <c r="K21" s="216"/>
    </row>
    <row r="22" spans="1:11" ht="12.75">
      <c r="A22" s="214"/>
      <c r="B22" s="215"/>
      <c r="C22" s="215"/>
      <c r="D22" s="215"/>
      <c r="E22" s="215"/>
      <c r="F22" s="215"/>
      <c r="G22" s="215"/>
      <c r="H22" s="215"/>
      <c r="I22" s="215"/>
      <c r="J22" s="215"/>
      <c r="K22" s="216"/>
    </row>
    <row r="23" spans="1:11" ht="12.75">
      <c r="A23" s="214"/>
      <c r="B23" s="215"/>
      <c r="C23" s="215"/>
      <c r="D23" s="215"/>
      <c r="E23" s="215"/>
      <c r="F23" s="215"/>
      <c r="G23" s="215"/>
      <c r="H23" s="215"/>
      <c r="I23" s="215"/>
      <c r="J23" s="215"/>
      <c r="K23" s="216"/>
    </row>
    <row r="24" spans="1:11" ht="12.75">
      <c r="A24" s="214"/>
      <c r="B24" s="215"/>
      <c r="C24" s="215"/>
      <c r="D24" s="215"/>
      <c r="E24" s="215"/>
      <c r="F24" s="215"/>
      <c r="G24" s="215"/>
      <c r="H24" s="215"/>
      <c r="I24" s="215"/>
      <c r="J24" s="215"/>
      <c r="K24" s="216"/>
    </row>
    <row r="25" spans="1:11" ht="12.75">
      <c r="A25" s="214"/>
      <c r="B25" s="215"/>
      <c r="C25" s="215"/>
      <c r="D25" s="215"/>
      <c r="E25" s="215"/>
      <c r="F25" s="215"/>
      <c r="G25" s="215"/>
      <c r="H25" s="215"/>
      <c r="I25" s="215"/>
      <c r="J25" s="215"/>
      <c r="K25" s="216"/>
    </row>
    <row r="26" spans="1:11" ht="12.75">
      <c r="A26" s="214"/>
      <c r="B26" s="215"/>
      <c r="C26" s="215"/>
      <c r="D26" s="215"/>
      <c r="E26" s="215"/>
      <c r="F26" s="215"/>
      <c r="G26" s="215"/>
      <c r="H26" s="215"/>
      <c r="I26" s="215"/>
      <c r="J26" s="215"/>
      <c r="K26" s="216"/>
    </row>
    <row r="27" spans="1:11" ht="12.75">
      <c r="A27" s="214"/>
      <c r="B27" s="215"/>
      <c r="C27" s="215"/>
      <c r="D27" s="215"/>
      <c r="E27" s="215"/>
      <c r="F27" s="215"/>
      <c r="G27" s="215"/>
      <c r="H27" s="215"/>
      <c r="I27" s="215"/>
      <c r="J27" s="215"/>
      <c r="K27" s="216"/>
    </row>
    <row r="28" spans="1:11" ht="12.75">
      <c r="A28" s="214"/>
      <c r="B28" s="215"/>
      <c r="C28" s="215"/>
      <c r="D28" s="215"/>
      <c r="E28" s="215"/>
      <c r="F28" s="215"/>
      <c r="G28" s="215"/>
      <c r="H28" s="215"/>
      <c r="I28" s="215"/>
      <c r="J28" s="215"/>
      <c r="K28" s="216"/>
    </row>
    <row r="29" spans="1:11" ht="12.75">
      <c r="A29" s="214"/>
      <c r="B29" s="215"/>
      <c r="C29" s="215"/>
      <c r="D29" s="215"/>
      <c r="E29" s="215"/>
      <c r="F29" s="215"/>
      <c r="G29" s="215"/>
      <c r="H29" s="215"/>
      <c r="I29" s="215"/>
      <c r="J29" s="215"/>
      <c r="K29" s="216"/>
    </row>
    <row r="30" spans="1:11" ht="12.75">
      <c r="A30" s="214"/>
      <c r="B30" s="215"/>
      <c r="C30" s="215"/>
      <c r="D30" s="215"/>
      <c r="E30" s="215"/>
      <c r="F30" s="215"/>
      <c r="G30" s="215"/>
      <c r="H30" s="215"/>
      <c r="I30" s="215"/>
      <c r="J30" s="215"/>
      <c r="K30" s="216"/>
    </row>
    <row r="31" spans="1:11" ht="12.75">
      <c r="A31" s="214"/>
      <c r="B31" s="215"/>
      <c r="C31" s="215"/>
      <c r="D31" s="215"/>
      <c r="E31" s="215"/>
      <c r="F31" s="215"/>
      <c r="G31" s="215"/>
      <c r="H31" s="215"/>
      <c r="I31" s="215"/>
      <c r="J31" s="215"/>
      <c r="K31" s="216"/>
    </row>
    <row r="32" spans="1:11" ht="12.75">
      <c r="A32" s="214"/>
      <c r="B32" s="215"/>
      <c r="C32" s="215"/>
      <c r="D32" s="215"/>
      <c r="E32" s="215"/>
      <c r="F32" s="215"/>
      <c r="G32" s="215"/>
      <c r="H32" s="215"/>
      <c r="I32" s="215"/>
      <c r="J32" s="215"/>
      <c r="K32" s="216"/>
    </row>
    <row r="33" spans="1:11" ht="12.75">
      <c r="A33" s="214"/>
      <c r="B33" s="215"/>
      <c r="C33" s="215"/>
      <c r="D33" s="215"/>
      <c r="E33" s="215"/>
      <c r="F33" s="215"/>
      <c r="G33" s="215"/>
      <c r="H33" s="215"/>
      <c r="I33" s="215"/>
      <c r="J33" s="215"/>
      <c r="K33" s="216"/>
    </row>
    <row r="34" spans="1:11" ht="12.75">
      <c r="A34" s="214"/>
      <c r="B34" s="215"/>
      <c r="C34" s="215"/>
      <c r="D34" s="215"/>
      <c r="E34" s="215"/>
      <c r="F34" s="215"/>
      <c r="G34" s="215"/>
      <c r="H34" s="215"/>
      <c r="I34" s="215"/>
      <c r="J34" s="215"/>
      <c r="K34" s="216"/>
    </row>
    <row r="35" spans="1:11" ht="12.75">
      <c r="A35" s="214"/>
      <c r="B35" s="215"/>
      <c r="C35" s="215"/>
      <c r="D35" s="215"/>
      <c r="E35" s="215"/>
      <c r="F35" s="215"/>
      <c r="G35" s="215"/>
      <c r="H35" s="215"/>
      <c r="I35" s="215"/>
      <c r="J35" s="215"/>
      <c r="K35" s="216"/>
    </row>
    <row r="36" spans="1:11" ht="12.75">
      <c r="A36" s="214"/>
      <c r="B36" s="215"/>
      <c r="C36" s="215"/>
      <c r="D36" s="215"/>
      <c r="E36" s="215"/>
      <c r="F36" s="215"/>
      <c r="G36" s="215"/>
      <c r="H36" s="215"/>
      <c r="I36" s="215"/>
      <c r="J36" s="215"/>
      <c r="K36" s="216"/>
    </row>
    <row r="37" spans="1:11" ht="12.75">
      <c r="A37" s="214"/>
      <c r="B37" s="215"/>
      <c r="C37" s="215"/>
      <c r="D37" s="215"/>
      <c r="E37" s="215"/>
      <c r="F37" s="215"/>
      <c r="G37" s="215"/>
      <c r="H37" s="215"/>
      <c r="I37" s="215"/>
      <c r="J37" s="215"/>
      <c r="K37" s="216"/>
    </row>
    <row r="38" spans="1:11" ht="12.75">
      <c r="A38" s="214"/>
      <c r="B38" s="215"/>
      <c r="C38" s="215"/>
      <c r="D38" s="215"/>
      <c r="E38" s="215"/>
      <c r="F38" s="215"/>
      <c r="G38" s="215"/>
      <c r="H38" s="215"/>
      <c r="I38" s="215"/>
      <c r="J38" s="215"/>
      <c r="K38" s="216"/>
    </row>
    <row r="39" spans="1:11" ht="12.75">
      <c r="A39" s="214"/>
      <c r="B39" s="215"/>
      <c r="C39" s="215"/>
      <c r="D39" s="215"/>
      <c r="E39" s="215"/>
      <c r="F39" s="215"/>
      <c r="G39" s="215"/>
      <c r="H39" s="215"/>
      <c r="I39" s="215"/>
      <c r="J39" s="215"/>
      <c r="K39" s="216"/>
    </row>
    <row r="40" spans="1:11" ht="12.75">
      <c r="A40" s="214"/>
      <c r="B40" s="215"/>
      <c r="C40" s="215"/>
      <c r="D40" s="215"/>
      <c r="E40" s="215"/>
      <c r="F40" s="215"/>
      <c r="G40" s="215"/>
      <c r="H40" s="215"/>
      <c r="I40" s="215"/>
      <c r="J40" s="215"/>
      <c r="K40" s="216"/>
    </row>
    <row r="41" spans="1:11" ht="12.75">
      <c r="A41" s="214"/>
      <c r="B41" s="215"/>
      <c r="C41" s="215"/>
      <c r="D41" s="215"/>
      <c r="E41" s="215"/>
      <c r="F41" s="215"/>
      <c r="G41" s="215"/>
      <c r="H41" s="215"/>
      <c r="I41" s="215"/>
      <c r="J41" s="215"/>
      <c r="K41" s="216"/>
    </row>
    <row r="42" spans="1:11" ht="12.75">
      <c r="A42" s="214"/>
      <c r="B42" s="215"/>
      <c r="C42" s="215"/>
      <c r="D42" s="215"/>
      <c r="E42" s="215"/>
      <c r="F42" s="215"/>
      <c r="G42" s="215"/>
      <c r="H42" s="215"/>
      <c r="I42" s="215"/>
      <c r="J42" s="215"/>
      <c r="K42" s="216"/>
    </row>
    <row r="43" spans="1:11" ht="12.75">
      <c r="A43" s="214"/>
      <c r="B43" s="215"/>
      <c r="C43" s="215"/>
      <c r="D43" s="215"/>
      <c r="E43" s="215"/>
      <c r="F43" s="215"/>
      <c r="G43" s="215"/>
      <c r="H43" s="215"/>
      <c r="I43" s="215"/>
      <c r="J43" s="215"/>
      <c r="K43" s="216"/>
    </row>
    <row r="44" spans="1:11" ht="12.75">
      <c r="A44" s="214"/>
      <c r="B44" s="215"/>
      <c r="C44" s="215"/>
      <c r="D44" s="215"/>
      <c r="E44" s="215"/>
      <c r="F44" s="215"/>
      <c r="G44" s="215"/>
      <c r="H44" s="215"/>
      <c r="I44" s="215"/>
      <c r="J44" s="215"/>
      <c r="K44" s="216"/>
    </row>
    <row r="45" spans="1:11" ht="12.75">
      <c r="A45" s="214"/>
      <c r="B45" s="215"/>
      <c r="C45" s="215"/>
      <c r="D45" s="215"/>
      <c r="E45" s="215"/>
      <c r="F45" s="215"/>
      <c r="G45" s="215"/>
      <c r="H45" s="215"/>
      <c r="I45" s="215"/>
      <c r="J45" s="215"/>
      <c r="K45" s="216"/>
    </row>
    <row r="46" spans="1:11" ht="12.75">
      <c r="A46" s="214"/>
      <c r="B46" s="215"/>
      <c r="C46" s="215"/>
      <c r="D46" s="215"/>
      <c r="E46" s="215"/>
      <c r="F46" s="215"/>
      <c r="G46" s="215"/>
      <c r="H46" s="215"/>
      <c r="I46" s="215"/>
      <c r="J46" s="215"/>
      <c r="K46" s="216"/>
    </row>
    <row r="47" spans="1:11" ht="12.75">
      <c r="A47" s="214"/>
      <c r="B47" s="215"/>
      <c r="C47" s="215"/>
      <c r="D47" s="215"/>
      <c r="E47" s="215"/>
      <c r="F47" s="215"/>
      <c r="G47" s="215"/>
      <c r="H47" s="215"/>
      <c r="I47" s="215"/>
      <c r="J47" s="215"/>
      <c r="K47" s="216"/>
    </row>
    <row r="48" spans="1:11" ht="12.75">
      <c r="A48" s="214"/>
      <c r="B48" s="215"/>
      <c r="C48" s="215"/>
      <c r="D48" s="215"/>
      <c r="E48" s="215"/>
      <c r="F48" s="215"/>
      <c r="G48" s="215"/>
      <c r="H48" s="215"/>
      <c r="I48" s="215"/>
      <c r="J48" s="215"/>
      <c r="K48" s="216"/>
    </row>
    <row r="49" spans="1:11" ht="12.75">
      <c r="A49" s="214"/>
      <c r="B49" s="215"/>
      <c r="C49" s="215"/>
      <c r="D49" s="215"/>
      <c r="E49" s="215"/>
      <c r="F49" s="215"/>
      <c r="G49" s="215"/>
      <c r="H49" s="215"/>
      <c r="I49" s="215"/>
      <c r="J49" s="215"/>
      <c r="K49" s="216"/>
    </row>
    <row r="50" spans="1:11" ht="12.75">
      <c r="A50" s="214"/>
      <c r="B50" s="215"/>
      <c r="C50" s="215"/>
      <c r="D50" s="215"/>
      <c r="E50" s="215"/>
      <c r="F50" s="215"/>
      <c r="G50" s="215"/>
      <c r="H50" s="215"/>
      <c r="I50" s="215"/>
      <c r="J50" s="215"/>
      <c r="K50" s="216"/>
    </row>
    <row r="51" spans="1:11" ht="12.75">
      <c r="A51" s="214"/>
      <c r="B51" s="215"/>
      <c r="C51" s="215"/>
      <c r="D51" s="215"/>
      <c r="E51" s="215"/>
      <c r="F51" s="215"/>
      <c r="G51" s="215"/>
      <c r="H51" s="215"/>
      <c r="I51" s="215"/>
      <c r="J51" s="215"/>
      <c r="K51" s="216"/>
    </row>
    <row r="52" spans="1:11" ht="11.25" customHeight="1">
      <c r="A52" s="214"/>
      <c r="B52" s="215"/>
      <c r="C52" s="215"/>
      <c r="D52" s="215"/>
      <c r="E52" s="215"/>
      <c r="F52" s="215"/>
      <c r="G52" s="215"/>
      <c r="H52" s="215"/>
      <c r="I52" s="215"/>
      <c r="J52" s="215"/>
      <c r="K52" s="216"/>
    </row>
    <row r="53" spans="1:11" ht="11.25" customHeight="1">
      <c r="A53" s="214"/>
      <c r="B53" s="215"/>
      <c r="C53" s="215"/>
      <c r="D53" s="215"/>
      <c r="E53" s="215"/>
      <c r="F53" s="215"/>
      <c r="G53" s="215"/>
      <c r="H53" s="215"/>
      <c r="I53" s="215"/>
      <c r="J53" s="215"/>
      <c r="K53" s="216"/>
    </row>
    <row r="54" spans="1:11" ht="11.25" customHeight="1">
      <c r="A54" s="217"/>
      <c r="B54" s="218"/>
      <c r="C54" s="218"/>
      <c r="D54" s="218"/>
      <c r="E54" s="218"/>
      <c r="F54" s="218"/>
      <c r="G54" s="218"/>
      <c r="H54" s="218"/>
      <c r="I54" s="218"/>
      <c r="J54" s="218"/>
      <c r="K54" s="219"/>
    </row>
  </sheetData>
  <sheetProtection sheet="1" objects="1" scenarios="1"/>
  <mergeCells count="52">
    <mergeCell ref="A1:C1"/>
    <mergeCell ref="E1:H1"/>
    <mergeCell ref="A6:K6"/>
    <mergeCell ref="A7:K7"/>
    <mergeCell ref="A8:K8"/>
    <mergeCell ref="A9:K9"/>
    <mergeCell ref="A3:K3"/>
    <mergeCell ref="A4:K4"/>
    <mergeCell ref="A5:K5"/>
    <mergeCell ref="A15:K15"/>
    <mergeCell ref="A17:K17"/>
    <mergeCell ref="A18:K18"/>
    <mergeCell ref="A19:K19"/>
    <mergeCell ref="A10:K10"/>
    <mergeCell ref="A11:K11"/>
    <mergeCell ref="A12:K12"/>
    <mergeCell ref="A13:K13"/>
    <mergeCell ref="A24:K24"/>
    <mergeCell ref="A25:K25"/>
    <mergeCell ref="A26:K26"/>
    <mergeCell ref="A27:K27"/>
    <mergeCell ref="A20:K20"/>
    <mergeCell ref="A21:K21"/>
    <mergeCell ref="A22:K22"/>
    <mergeCell ref="A23:K23"/>
    <mergeCell ref="A32:K32"/>
    <mergeCell ref="A33:K33"/>
    <mergeCell ref="A34:K34"/>
    <mergeCell ref="A35:K35"/>
    <mergeCell ref="A28:K28"/>
    <mergeCell ref="A29:K29"/>
    <mergeCell ref="A30:K30"/>
    <mergeCell ref="A31:K31"/>
    <mergeCell ref="A39:K39"/>
    <mergeCell ref="A40:K40"/>
    <mergeCell ref="A41:K41"/>
    <mergeCell ref="A36:K36"/>
    <mergeCell ref="A37:K37"/>
    <mergeCell ref="A38:K38"/>
    <mergeCell ref="A45:K45"/>
    <mergeCell ref="A46:K46"/>
    <mergeCell ref="A47:K47"/>
    <mergeCell ref="A48:K48"/>
    <mergeCell ref="A42:K42"/>
    <mergeCell ref="A43:K43"/>
    <mergeCell ref="A44:K44"/>
    <mergeCell ref="A53:K53"/>
    <mergeCell ref="A54:K54"/>
    <mergeCell ref="A49:K49"/>
    <mergeCell ref="A50:K50"/>
    <mergeCell ref="A51:K51"/>
    <mergeCell ref="A52:K52"/>
  </mergeCells>
  <phoneticPr fontId="0" type="noConversion"/>
  <pageMargins left="0.75" right="0.75" top="1" bottom="1.1200000000000001" header="0.5" footer="0.87"/>
  <pageSetup orientation="portrait" horizontalDpi="360" verticalDpi="360" r:id="rId1"/>
  <headerFooter alignWithMargins="0">
    <oddFooter>&amp;L&amp;"Tahoma,Regular"Concordia Language Villages, Food Service's recipe form (updated &amp;D).&amp;R&amp;"Tahoma,Regular"&amp;Xclv ts/s (10/2000)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K55"/>
  <sheetViews>
    <sheetView workbookViewId="0">
      <selection activeCell="A38" sqref="A38:K38"/>
    </sheetView>
  </sheetViews>
  <sheetFormatPr defaultRowHeight="11.25" customHeight="1"/>
  <cols>
    <col min="1" max="2" width="9.140625" style="7"/>
    <col min="3" max="3" width="10.42578125" style="7" customWidth="1"/>
    <col min="4" max="4" width="0.7109375" style="7" customWidth="1"/>
    <col min="5" max="5" width="9.85546875" style="7" customWidth="1"/>
    <col min="6" max="6" width="11.7109375" style="7" customWidth="1"/>
    <col min="7" max="7" width="9.28515625" style="7" customWidth="1"/>
    <col min="8" max="8" width="9.140625" style="7"/>
    <col min="9" max="9" width="0.7109375" style="7" customWidth="1"/>
    <col min="10" max="10" width="11.5703125" style="7" customWidth="1"/>
    <col min="11" max="16384" width="9.140625" style="7"/>
  </cols>
  <sheetData>
    <row r="1" spans="1:11" ht="15" customHeight="1">
      <c r="A1" s="220" t="s">
        <v>31</v>
      </c>
      <c r="B1" s="221"/>
      <c r="C1" s="221"/>
      <c r="D1" s="36"/>
      <c r="E1" s="235" t="str">
        <f>IF(('recipe form'!G1)=0," ",'recipe form'!G1)</f>
        <v>Fried Chicken</v>
      </c>
      <c r="F1" s="235"/>
      <c r="G1" s="235"/>
      <c r="H1" s="235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>
      <c r="A3" s="232" t="str">
        <f>IF('recipe form'!A52=0, " ",'recipe form'!A52)</f>
        <v xml:space="preserve"> </v>
      </c>
      <c r="B3" s="233"/>
      <c r="C3" s="233"/>
      <c r="D3" s="233"/>
      <c r="E3" s="233"/>
      <c r="F3" s="233"/>
      <c r="G3" s="233"/>
      <c r="H3" s="233"/>
      <c r="I3" s="233"/>
      <c r="J3" s="233"/>
      <c r="K3" s="234"/>
    </row>
    <row r="4" spans="1:11" ht="11.25" customHeight="1">
      <c r="A4" s="226" t="str">
        <f>IF('recipe form'!A53=0, " ",'recipe form'!A53)</f>
        <v xml:space="preserve"> 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</row>
    <row r="5" spans="1:11" ht="11.25" customHeight="1">
      <c r="A5" s="226" t="str">
        <f>IF('recipe form'!A54:Q54=0, " ",'recipe form'!A54:Q54)</f>
        <v xml:space="preserve"> 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</row>
    <row r="6" spans="1:11" ht="11.25" customHeight="1">
      <c r="A6" s="226" t="str">
        <f>IF('recipe form'!A55:Q55=0, " ",'recipe form'!A55:Q55)</f>
        <v xml:space="preserve"> </v>
      </c>
      <c r="B6" s="227"/>
      <c r="C6" s="227"/>
      <c r="D6" s="227"/>
      <c r="E6" s="227"/>
      <c r="F6" s="227"/>
      <c r="G6" s="227"/>
      <c r="H6" s="227"/>
      <c r="I6" s="227"/>
      <c r="J6" s="227"/>
      <c r="K6" s="228"/>
    </row>
    <row r="7" spans="1:11" ht="11.25" customHeight="1">
      <c r="A7" s="226" t="str">
        <f>IF('recipe form'!A56:Q56=0, " ",'recipe form'!A56:Q56)</f>
        <v xml:space="preserve"> </v>
      </c>
      <c r="B7" s="227"/>
      <c r="C7" s="227"/>
      <c r="D7" s="227"/>
      <c r="E7" s="227"/>
      <c r="F7" s="227"/>
      <c r="G7" s="227"/>
      <c r="H7" s="227"/>
      <c r="I7" s="227"/>
      <c r="J7" s="227"/>
      <c r="K7" s="228"/>
    </row>
    <row r="8" spans="1:11" ht="11.25" customHeight="1">
      <c r="A8" s="226" t="str">
        <f>IF('recipe form'!A57:Q57=0, " ",'recipe form'!A57:Q57)</f>
        <v xml:space="preserve"> </v>
      </c>
      <c r="B8" s="227"/>
      <c r="C8" s="227"/>
      <c r="D8" s="227"/>
      <c r="E8" s="227"/>
      <c r="F8" s="227"/>
      <c r="G8" s="227"/>
      <c r="H8" s="227"/>
      <c r="I8" s="227"/>
      <c r="J8" s="227"/>
      <c r="K8" s="228"/>
    </row>
    <row r="9" spans="1:11" ht="11.25" customHeight="1">
      <c r="A9" s="226" t="str">
        <f>IF('recipe form'!A58:Q58=0, " ",'recipe form'!A58:Q58)</f>
        <v xml:space="preserve"> </v>
      </c>
      <c r="B9" s="227"/>
      <c r="C9" s="227"/>
      <c r="D9" s="227"/>
      <c r="E9" s="227"/>
      <c r="F9" s="227"/>
      <c r="G9" s="227"/>
      <c r="H9" s="227"/>
      <c r="I9" s="227"/>
      <c r="J9" s="227"/>
      <c r="K9" s="228"/>
    </row>
    <row r="10" spans="1:11" ht="11.25" customHeight="1">
      <c r="A10" s="226" t="str">
        <f>IF('recipe form'!A59:Q59=0, " ",'recipe form'!A59:Q59)</f>
        <v xml:space="preserve"> </v>
      </c>
      <c r="B10" s="227"/>
      <c r="C10" s="227"/>
      <c r="D10" s="227"/>
      <c r="E10" s="227"/>
      <c r="F10" s="227"/>
      <c r="G10" s="227"/>
      <c r="H10" s="227"/>
      <c r="I10" s="227"/>
      <c r="J10" s="227"/>
      <c r="K10" s="228"/>
    </row>
    <row r="11" spans="1:11" ht="11.25" customHeight="1">
      <c r="A11" s="229" t="str">
        <f>IF('recipe form'!A60:K60=0, " ",'recipe form'!A60:K60)</f>
        <v xml:space="preserve"> 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1"/>
    </row>
    <row r="12" spans="1:11" ht="4.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5" customHeight="1">
      <c r="A13" s="220" t="s">
        <v>34</v>
      </c>
      <c r="B13" s="221"/>
      <c r="C13" s="221"/>
      <c r="D13" s="221"/>
      <c r="E13" s="221"/>
      <c r="F13" s="221"/>
      <c r="G13" s="221"/>
      <c r="H13" s="221"/>
      <c r="I13" s="221"/>
      <c r="J13" s="221"/>
      <c r="K13" s="222"/>
    </row>
    <row r="14" spans="1:11" s="9" customFormat="1" ht="4.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1.25" customHeight="1">
      <c r="A15" s="223"/>
      <c r="B15" s="224"/>
      <c r="C15" s="224"/>
      <c r="D15" s="224"/>
      <c r="E15" s="224"/>
      <c r="F15" s="224"/>
      <c r="G15" s="224"/>
      <c r="H15" s="224"/>
      <c r="I15" s="224"/>
      <c r="J15" s="224"/>
      <c r="K15" s="225"/>
    </row>
    <row r="16" spans="1:11" ht="11.25" customHeight="1">
      <c r="A16" s="214"/>
      <c r="B16" s="215"/>
      <c r="C16" s="215"/>
      <c r="D16" s="215"/>
      <c r="E16" s="215"/>
      <c r="F16" s="215"/>
      <c r="G16" s="215"/>
      <c r="H16" s="215"/>
      <c r="I16" s="215"/>
      <c r="J16" s="215"/>
      <c r="K16" s="216"/>
    </row>
    <row r="17" spans="1:11" ht="11.25" customHeight="1">
      <c r="A17" s="214"/>
      <c r="B17" s="215"/>
      <c r="C17" s="215"/>
      <c r="D17" s="215"/>
      <c r="E17" s="215"/>
      <c r="F17" s="215"/>
      <c r="G17" s="215"/>
      <c r="H17" s="215"/>
      <c r="I17" s="215"/>
      <c r="J17" s="215"/>
      <c r="K17" s="216"/>
    </row>
    <row r="18" spans="1:11" ht="11.25" customHeight="1">
      <c r="A18" s="214"/>
      <c r="B18" s="215"/>
      <c r="C18" s="215"/>
      <c r="D18" s="215"/>
      <c r="E18" s="215"/>
      <c r="F18" s="215"/>
      <c r="G18" s="215"/>
      <c r="H18" s="215"/>
      <c r="I18" s="215"/>
      <c r="J18" s="215"/>
      <c r="K18" s="216"/>
    </row>
    <row r="19" spans="1:11" ht="11.25" customHeight="1">
      <c r="A19" s="214"/>
      <c r="B19" s="215"/>
      <c r="C19" s="215"/>
      <c r="D19" s="215"/>
      <c r="E19" s="215"/>
      <c r="F19" s="215"/>
      <c r="G19" s="215"/>
      <c r="H19" s="215"/>
      <c r="I19" s="215"/>
      <c r="J19" s="215"/>
      <c r="K19" s="216"/>
    </row>
    <row r="20" spans="1:11" ht="11.25" customHeight="1">
      <c r="A20" s="214"/>
      <c r="B20" s="215"/>
      <c r="C20" s="215"/>
      <c r="D20" s="215"/>
      <c r="E20" s="215"/>
      <c r="F20" s="215"/>
      <c r="G20" s="215"/>
      <c r="H20" s="215"/>
      <c r="I20" s="215"/>
      <c r="J20" s="215"/>
      <c r="K20" s="216"/>
    </row>
    <row r="21" spans="1:11" ht="11.25" customHeight="1">
      <c r="A21" s="214"/>
      <c r="B21" s="215"/>
      <c r="C21" s="215"/>
      <c r="D21" s="215"/>
      <c r="E21" s="215"/>
      <c r="F21" s="215"/>
      <c r="G21" s="215"/>
      <c r="H21" s="215"/>
      <c r="I21" s="215"/>
      <c r="J21" s="215"/>
      <c r="K21" s="216"/>
    </row>
    <row r="22" spans="1:11" ht="11.25" customHeight="1">
      <c r="A22" s="214"/>
      <c r="B22" s="215"/>
      <c r="C22" s="215"/>
      <c r="D22" s="215"/>
      <c r="E22" s="215"/>
      <c r="F22" s="215"/>
      <c r="G22" s="215"/>
      <c r="H22" s="215"/>
      <c r="I22" s="215"/>
      <c r="J22" s="215"/>
      <c r="K22" s="216"/>
    </row>
    <row r="23" spans="1:11" ht="11.25" customHeight="1">
      <c r="A23" s="214"/>
      <c r="B23" s="215"/>
      <c r="C23" s="215"/>
      <c r="D23" s="215"/>
      <c r="E23" s="215"/>
      <c r="F23" s="215"/>
      <c r="G23" s="215"/>
      <c r="H23" s="215"/>
      <c r="I23" s="215"/>
      <c r="J23" s="215"/>
      <c r="K23" s="216"/>
    </row>
    <row r="24" spans="1:11" ht="11.25" customHeight="1">
      <c r="A24" s="214"/>
      <c r="B24" s="215"/>
      <c r="C24" s="215"/>
      <c r="D24" s="215"/>
      <c r="E24" s="215"/>
      <c r="F24" s="215"/>
      <c r="G24" s="215"/>
      <c r="H24" s="215"/>
      <c r="I24" s="215"/>
      <c r="J24" s="215"/>
      <c r="K24" s="216"/>
    </row>
    <row r="25" spans="1:11" ht="12.75">
      <c r="A25" s="240"/>
      <c r="B25" s="241"/>
      <c r="C25" s="241"/>
      <c r="D25" s="241"/>
      <c r="E25" s="241"/>
      <c r="F25" s="241"/>
      <c r="G25" s="241"/>
      <c r="H25" s="241"/>
      <c r="I25" s="241"/>
      <c r="J25" s="241"/>
      <c r="K25" s="242"/>
    </row>
    <row r="26" spans="1:11" ht="12.75">
      <c r="A26" s="240"/>
      <c r="B26" s="241"/>
      <c r="C26" s="241"/>
      <c r="D26" s="241"/>
      <c r="E26" s="241"/>
      <c r="F26" s="241"/>
      <c r="G26" s="241"/>
      <c r="H26" s="241"/>
      <c r="I26" s="241"/>
      <c r="J26" s="241"/>
      <c r="K26" s="242"/>
    </row>
    <row r="27" spans="1:11" ht="12.75">
      <c r="A27" s="240"/>
      <c r="B27" s="241"/>
      <c r="C27" s="241"/>
      <c r="D27" s="241"/>
      <c r="E27" s="241"/>
      <c r="F27" s="241"/>
      <c r="G27" s="241"/>
      <c r="H27" s="241"/>
      <c r="I27" s="241"/>
      <c r="J27" s="241"/>
      <c r="K27" s="242"/>
    </row>
    <row r="28" spans="1:11" ht="12.75">
      <c r="A28" s="240"/>
      <c r="B28" s="241"/>
      <c r="C28" s="241"/>
      <c r="D28" s="241"/>
      <c r="E28" s="241"/>
      <c r="F28" s="241"/>
      <c r="G28" s="241"/>
      <c r="H28" s="241"/>
      <c r="I28" s="241"/>
      <c r="J28" s="241"/>
      <c r="K28" s="242"/>
    </row>
    <row r="29" spans="1:11" ht="12.75">
      <c r="A29" s="214"/>
      <c r="B29" s="215"/>
      <c r="C29" s="215"/>
      <c r="D29" s="215"/>
      <c r="E29" s="215"/>
      <c r="F29" s="215"/>
      <c r="G29" s="215"/>
      <c r="H29" s="215"/>
      <c r="I29" s="215"/>
      <c r="J29" s="215"/>
      <c r="K29" s="216"/>
    </row>
    <row r="30" spans="1:11" ht="12.75">
      <c r="A30" s="214"/>
      <c r="B30" s="215"/>
      <c r="C30" s="215"/>
      <c r="D30" s="215"/>
      <c r="E30" s="215"/>
      <c r="F30" s="215"/>
      <c r="G30" s="215"/>
      <c r="H30" s="215"/>
      <c r="I30" s="215"/>
      <c r="J30" s="215"/>
      <c r="K30" s="216"/>
    </row>
    <row r="31" spans="1:11" ht="12.75">
      <c r="A31" s="214"/>
      <c r="B31" s="215"/>
      <c r="C31" s="215"/>
      <c r="D31" s="215"/>
      <c r="E31" s="215"/>
      <c r="F31" s="215"/>
      <c r="G31" s="215"/>
      <c r="H31" s="215"/>
      <c r="I31" s="215"/>
      <c r="J31" s="215"/>
      <c r="K31" s="216"/>
    </row>
    <row r="32" spans="1:11" ht="12.75">
      <c r="A32" s="214"/>
      <c r="B32" s="215"/>
      <c r="C32" s="215"/>
      <c r="D32" s="215"/>
      <c r="E32" s="215"/>
      <c r="F32" s="215"/>
      <c r="G32" s="215"/>
      <c r="H32" s="215"/>
      <c r="I32" s="215"/>
      <c r="J32" s="215"/>
      <c r="K32" s="216"/>
    </row>
    <row r="33" spans="1:11" ht="12.75">
      <c r="A33" s="214"/>
      <c r="B33" s="215"/>
      <c r="C33" s="215"/>
      <c r="D33" s="215"/>
      <c r="E33" s="215"/>
      <c r="F33" s="215"/>
      <c r="G33" s="215"/>
      <c r="H33" s="215"/>
      <c r="I33" s="215"/>
      <c r="J33" s="215"/>
      <c r="K33" s="216"/>
    </row>
    <row r="34" spans="1:11" ht="12.75">
      <c r="A34" s="214"/>
      <c r="B34" s="215"/>
      <c r="C34" s="215"/>
      <c r="D34" s="215"/>
      <c r="E34" s="215"/>
      <c r="F34" s="215"/>
      <c r="G34" s="215"/>
      <c r="H34" s="215"/>
      <c r="I34" s="215"/>
      <c r="J34" s="215"/>
      <c r="K34" s="216"/>
    </row>
    <row r="35" spans="1:11" ht="12.75">
      <c r="A35" s="214"/>
      <c r="B35" s="215"/>
      <c r="C35" s="215"/>
      <c r="D35" s="215"/>
      <c r="E35" s="215"/>
      <c r="F35" s="215"/>
      <c r="G35" s="215"/>
      <c r="H35" s="215"/>
      <c r="I35" s="215"/>
      <c r="J35" s="215"/>
      <c r="K35" s="216"/>
    </row>
    <row r="36" spans="1:11" ht="12.75">
      <c r="A36" s="214"/>
      <c r="B36" s="215"/>
      <c r="C36" s="215"/>
      <c r="D36" s="215"/>
      <c r="E36" s="215"/>
      <c r="F36" s="215"/>
      <c r="G36" s="215"/>
      <c r="H36" s="215"/>
      <c r="I36" s="215"/>
      <c r="J36" s="215"/>
      <c r="K36" s="216"/>
    </row>
    <row r="37" spans="1:11" ht="12.75">
      <c r="A37" s="214"/>
      <c r="B37" s="215"/>
      <c r="C37" s="215"/>
      <c r="D37" s="215"/>
      <c r="E37" s="215"/>
      <c r="F37" s="215"/>
      <c r="G37" s="215"/>
      <c r="H37" s="215"/>
      <c r="I37" s="215"/>
      <c r="J37" s="215"/>
      <c r="K37" s="216"/>
    </row>
    <row r="38" spans="1:11" ht="12.75">
      <c r="A38" s="214"/>
      <c r="B38" s="215"/>
      <c r="C38" s="215"/>
      <c r="D38" s="215"/>
      <c r="E38" s="215"/>
      <c r="F38" s="215"/>
      <c r="G38" s="215"/>
      <c r="H38" s="215"/>
      <c r="I38" s="215"/>
      <c r="J38" s="215"/>
      <c r="K38" s="216"/>
    </row>
    <row r="39" spans="1:11" ht="12.75">
      <c r="A39" s="214"/>
      <c r="B39" s="215"/>
      <c r="C39" s="215"/>
      <c r="D39" s="215"/>
      <c r="E39" s="215"/>
      <c r="F39" s="215"/>
      <c r="G39" s="215"/>
      <c r="H39" s="215"/>
      <c r="I39" s="215"/>
      <c r="J39" s="215"/>
      <c r="K39" s="216"/>
    </row>
    <row r="40" spans="1:11" ht="12.75">
      <c r="A40" s="214"/>
      <c r="B40" s="215"/>
      <c r="C40" s="215"/>
      <c r="D40" s="215"/>
      <c r="E40" s="215"/>
      <c r="F40" s="215"/>
      <c r="G40" s="215"/>
      <c r="H40" s="215"/>
      <c r="I40" s="215"/>
      <c r="J40" s="215"/>
      <c r="K40" s="216"/>
    </row>
    <row r="41" spans="1:11" ht="12.75">
      <c r="A41" s="214"/>
      <c r="B41" s="215"/>
      <c r="C41" s="215"/>
      <c r="D41" s="215"/>
      <c r="E41" s="215"/>
      <c r="F41" s="215"/>
      <c r="G41" s="215"/>
      <c r="H41" s="215"/>
      <c r="I41" s="215"/>
      <c r="J41" s="215"/>
      <c r="K41" s="216"/>
    </row>
    <row r="42" spans="1:11" ht="12.75">
      <c r="A42" s="214"/>
      <c r="B42" s="215"/>
      <c r="C42" s="215"/>
      <c r="D42" s="215"/>
      <c r="E42" s="215"/>
      <c r="F42" s="215"/>
      <c r="G42" s="215"/>
      <c r="H42" s="215"/>
      <c r="I42" s="215"/>
      <c r="J42" s="215"/>
      <c r="K42" s="216"/>
    </row>
    <row r="43" spans="1:11" ht="12.75">
      <c r="A43" s="214"/>
      <c r="B43" s="215"/>
      <c r="C43" s="215"/>
      <c r="D43" s="215"/>
      <c r="E43" s="215"/>
      <c r="F43" s="215"/>
      <c r="G43" s="215"/>
      <c r="H43" s="215"/>
      <c r="I43" s="215"/>
      <c r="J43" s="215"/>
      <c r="K43" s="216"/>
    </row>
    <row r="44" spans="1:11" ht="12.75">
      <c r="A44" s="214"/>
      <c r="B44" s="215"/>
      <c r="C44" s="215"/>
      <c r="D44" s="215"/>
      <c r="E44" s="215"/>
      <c r="F44" s="215"/>
      <c r="G44" s="215"/>
      <c r="H44" s="215"/>
      <c r="I44" s="215"/>
      <c r="J44" s="215"/>
      <c r="K44" s="216"/>
    </row>
    <row r="45" spans="1:11" ht="12.75">
      <c r="A45" s="214"/>
      <c r="B45" s="215"/>
      <c r="C45" s="215"/>
      <c r="D45" s="215"/>
      <c r="E45" s="215"/>
      <c r="F45" s="215"/>
      <c r="G45" s="215"/>
      <c r="H45" s="215"/>
      <c r="I45" s="215"/>
      <c r="J45" s="215"/>
      <c r="K45" s="216"/>
    </row>
    <row r="46" spans="1:11" ht="12.75">
      <c r="A46" s="214"/>
      <c r="B46" s="215"/>
      <c r="C46" s="215"/>
      <c r="D46" s="215"/>
      <c r="E46" s="215"/>
      <c r="F46" s="215"/>
      <c r="G46" s="215"/>
      <c r="H46" s="215"/>
      <c r="I46" s="215"/>
      <c r="J46" s="215"/>
      <c r="K46" s="216"/>
    </row>
    <row r="47" spans="1:11" ht="12.75">
      <c r="A47" s="214"/>
      <c r="B47" s="215"/>
      <c r="C47" s="215"/>
      <c r="D47" s="215"/>
      <c r="E47" s="215"/>
      <c r="F47" s="215"/>
      <c r="G47" s="215"/>
      <c r="H47" s="215"/>
      <c r="I47" s="215"/>
      <c r="J47" s="215"/>
      <c r="K47" s="216"/>
    </row>
    <row r="48" spans="1:11" ht="12.75">
      <c r="A48" s="214"/>
      <c r="B48" s="215"/>
      <c r="C48" s="215"/>
      <c r="D48" s="215"/>
      <c r="E48" s="215"/>
      <c r="F48" s="215"/>
      <c r="G48" s="215"/>
      <c r="H48" s="215"/>
      <c r="I48" s="215"/>
      <c r="J48" s="215"/>
      <c r="K48" s="216"/>
    </row>
    <row r="49" spans="1:11" ht="12.75">
      <c r="A49" s="214"/>
      <c r="B49" s="215"/>
      <c r="C49" s="215"/>
      <c r="D49" s="215"/>
      <c r="E49" s="215"/>
      <c r="F49" s="215"/>
      <c r="G49" s="215"/>
      <c r="H49" s="215"/>
      <c r="I49" s="215"/>
      <c r="J49" s="215"/>
      <c r="K49" s="216"/>
    </row>
    <row r="50" spans="1:11" ht="12.75">
      <c r="A50" s="214"/>
      <c r="B50" s="215"/>
      <c r="C50" s="215"/>
      <c r="D50" s="215"/>
      <c r="E50" s="215"/>
      <c r="F50" s="215"/>
      <c r="G50" s="215"/>
      <c r="H50" s="215"/>
      <c r="I50" s="215"/>
      <c r="J50" s="215"/>
      <c r="K50" s="216"/>
    </row>
    <row r="51" spans="1:11" ht="12.75">
      <c r="A51" s="214"/>
      <c r="B51" s="215"/>
      <c r="C51" s="215"/>
      <c r="D51" s="215"/>
      <c r="E51" s="215"/>
      <c r="F51" s="215"/>
      <c r="G51" s="215"/>
      <c r="H51" s="215"/>
      <c r="I51" s="215"/>
      <c r="J51" s="215"/>
      <c r="K51" s="216"/>
    </row>
    <row r="52" spans="1:11" ht="12.75">
      <c r="A52" s="214"/>
      <c r="B52" s="215"/>
      <c r="C52" s="215"/>
      <c r="D52" s="215"/>
      <c r="E52" s="215"/>
      <c r="F52" s="215"/>
      <c r="G52" s="215"/>
      <c r="H52" s="215"/>
      <c r="I52" s="215"/>
      <c r="J52" s="215"/>
      <c r="K52" s="216"/>
    </row>
    <row r="53" spans="1:11" ht="12.75">
      <c r="A53" s="214"/>
      <c r="B53" s="215"/>
      <c r="C53" s="215"/>
      <c r="D53" s="215"/>
      <c r="E53" s="215"/>
      <c r="F53" s="215"/>
      <c r="G53" s="215"/>
      <c r="H53" s="215"/>
      <c r="I53" s="215"/>
      <c r="J53" s="215"/>
      <c r="K53" s="216"/>
    </row>
    <row r="54" spans="1:11" ht="12.75">
      <c r="A54" s="236"/>
      <c r="B54" s="237"/>
      <c r="C54" s="237"/>
      <c r="D54" s="237"/>
      <c r="E54" s="237"/>
      <c r="F54" s="237"/>
      <c r="G54" s="237"/>
      <c r="H54" s="237"/>
      <c r="I54" s="237"/>
      <c r="J54" s="237"/>
      <c r="K54" s="238"/>
    </row>
    <row r="55" spans="1:11" ht="11.25" customHeight="1">
      <c r="H55" s="239"/>
      <c r="I55" s="239"/>
      <c r="J55" s="239"/>
      <c r="K55" s="239"/>
    </row>
  </sheetData>
  <sheetProtection sheet="1" objects="1" scenarios="1"/>
  <mergeCells count="53">
    <mergeCell ref="A5:K5"/>
    <mergeCell ref="A6:K6"/>
    <mergeCell ref="A1:C1"/>
    <mergeCell ref="E1:H1"/>
    <mergeCell ref="A3:K3"/>
    <mergeCell ref="A4:K4"/>
    <mergeCell ref="A11:K11"/>
    <mergeCell ref="A13:K13"/>
    <mergeCell ref="A15:K15"/>
    <mergeCell ref="A16:K16"/>
    <mergeCell ref="A7:K7"/>
    <mergeCell ref="A8:K8"/>
    <mergeCell ref="A9:K9"/>
    <mergeCell ref="A10:K10"/>
    <mergeCell ref="A21:K21"/>
    <mergeCell ref="A22:K22"/>
    <mergeCell ref="A23:K23"/>
    <mergeCell ref="A24:K24"/>
    <mergeCell ref="A17:K17"/>
    <mergeCell ref="A18:K18"/>
    <mergeCell ref="A19:K19"/>
    <mergeCell ref="A20:K20"/>
    <mergeCell ref="A25:K25"/>
    <mergeCell ref="A27:K27"/>
    <mergeCell ref="A29:K29"/>
    <mergeCell ref="A30:K30"/>
    <mergeCell ref="A26:K26"/>
    <mergeCell ref="A28:K28"/>
    <mergeCell ref="A35:K35"/>
    <mergeCell ref="A36:K36"/>
    <mergeCell ref="A37:K37"/>
    <mergeCell ref="A38:K38"/>
    <mergeCell ref="A31:K31"/>
    <mergeCell ref="A32:K32"/>
    <mergeCell ref="A33:K33"/>
    <mergeCell ref="A34:K34"/>
    <mergeCell ref="A45:K45"/>
    <mergeCell ref="A46:K46"/>
    <mergeCell ref="A47:K47"/>
    <mergeCell ref="A43:K43"/>
    <mergeCell ref="A44:K44"/>
    <mergeCell ref="A39:K39"/>
    <mergeCell ref="A40:K40"/>
    <mergeCell ref="A41:K41"/>
    <mergeCell ref="A42:K42"/>
    <mergeCell ref="A52:K52"/>
    <mergeCell ref="A53:K53"/>
    <mergeCell ref="A54:K54"/>
    <mergeCell ref="H55:K55"/>
    <mergeCell ref="A48:K48"/>
    <mergeCell ref="A49:K49"/>
    <mergeCell ref="A50:K50"/>
    <mergeCell ref="A51:K51"/>
  </mergeCells>
  <phoneticPr fontId="0" type="noConversion"/>
  <pageMargins left="0.75" right="0.75" top="1" bottom="1.1299999999999999" header="0.5" footer="0.89"/>
  <pageSetup orientation="portrait" horizontalDpi="360" verticalDpi="360" r:id="rId1"/>
  <headerFooter alignWithMargins="0">
    <oddFooter>&amp;L&amp;"Tahoma,Regular"Concordia Language Villages, Food Service's recipe form (updated &amp;D).&amp;R&amp;"Tahoma,Regular"&amp;Yclv ts/s (10/2000)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D67"/>
  <sheetViews>
    <sheetView zoomScaleNormal="100" zoomScaleSheetLayoutView="110" workbookViewId="0">
      <selection activeCell="C20" sqref="C20:I20"/>
    </sheetView>
  </sheetViews>
  <sheetFormatPr defaultRowHeight="12.75"/>
  <cols>
    <col min="1" max="1" width="3.28515625" style="31" customWidth="1"/>
    <col min="2" max="2" width="1.28515625" style="31" customWidth="1"/>
    <col min="3" max="3" width="3" style="31" customWidth="1"/>
    <col min="4" max="4" width="0.7109375" style="31" customWidth="1"/>
    <col min="5" max="5" width="10.42578125" style="31" customWidth="1"/>
    <col min="6" max="6" width="0.5703125" style="31" customWidth="1"/>
    <col min="7" max="7" width="7.5703125" style="31" customWidth="1"/>
    <col min="8" max="8" width="10.5703125" style="83" customWidth="1"/>
    <col min="9" max="9" width="7" style="83" customWidth="1"/>
    <col min="10" max="10" width="6.5703125" style="83" customWidth="1"/>
    <col min="11" max="11" width="0.7109375" style="83" customWidth="1"/>
    <col min="12" max="12" width="5.42578125" style="83" customWidth="1"/>
    <col min="13" max="13" width="0.7109375" style="83" customWidth="1"/>
    <col min="14" max="14" width="8.85546875" style="83" customWidth="1"/>
    <col min="15" max="15" width="10.140625" style="83" customWidth="1"/>
    <col min="16" max="16" width="0.7109375" style="83" customWidth="1"/>
    <col min="17" max="17" width="5.7109375" style="83" customWidth="1"/>
    <col min="18" max="18" width="0.7109375" style="83" customWidth="1"/>
    <col min="19" max="19" width="4.7109375" style="83" customWidth="1"/>
    <col min="20" max="20" width="1.42578125" style="83" customWidth="1"/>
    <col min="21" max="16384" width="9.140625" style="83"/>
  </cols>
  <sheetData>
    <row r="1" spans="1:30" ht="18" customHeight="1" thickBot="1">
      <c r="C1" s="32"/>
      <c r="D1" s="128"/>
      <c r="E1" s="128"/>
      <c r="F1" s="53"/>
      <c r="G1" s="258" t="str">
        <f>IF('recipe form'!G1=0," ",'recipe form'!G1)</f>
        <v>Fried Chicken</v>
      </c>
      <c r="H1" s="258"/>
      <c r="I1" s="258"/>
      <c r="J1" s="258"/>
      <c r="K1" s="258"/>
      <c r="L1" s="258"/>
      <c r="M1" s="258"/>
      <c r="N1" s="258"/>
      <c r="O1" s="258"/>
      <c r="P1" s="59"/>
      <c r="Q1" s="259" t="str">
        <f>IF('recipe form'!Q1=0," ",'recipe form'!Q1)</f>
        <v xml:space="preserve"> </v>
      </c>
      <c r="R1" s="260"/>
      <c r="S1" s="260"/>
      <c r="T1" s="261"/>
      <c r="U1" s="82"/>
      <c r="V1" s="82"/>
      <c r="W1" s="82"/>
      <c r="X1" s="82"/>
      <c r="Y1" s="82"/>
      <c r="Z1" s="82"/>
      <c r="AA1" s="82"/>
      <c r="AB1" s="82"/>
    </row>
    <row r="2" spans="1:30" ht="18" customHeight="1" thickBot="1">
      <c r="C2" s="32"/>
      <c r="D2" s="129"/>
      <c r="E2" s="129"/>
      <c r="F2" s="52"/>
      <c r="G2" s="262" t="str">
        <f>IF('recipe form'!G2=0," ",'recipe form'!G2)</f>
        <v>Brathaehnchen</v>
      </c>
      <c r="H2" s="262"/>
      <c r="I2" s="262"/>
      <c r="J2" s="262"/>
      <c r="K2" s="262"/>
      <c r="L2" s="262"/>
      <c r="M2" s="262"/>
      <c r="N2" s="262"/>
      <c r="O2" s="262"/>
      <c r="P2" s="50"/>
      <c r="Q2" s="259" t="str">
        <f>IF('recipe form'!Q2=0," ",'recipe form'!Q2)</f>
        <v xml:space="preserve"> </v>
      </c>
      <c r="R2" s="260"/>
      <c r="S2" s="260"/>
      <c r="T2" s="261"/>
      <c r="U2" s="61"/>
      <c r="V2" s="53"/>
      <c r="W2" s="53"/>
      <c r="X2" s="53"/>
      <c r="Y2" s="53"/>
      <c r="Z2" s="53"/>
      <c r="AA2" s="53"/>
      <c r="AB2" s="84"/>
      <c r="AC2" s="61"/>
      <c r="AD2" s="85"/>
    </row>
    <row r="3" spans="1:30" s="62" customFormat="1" ht="3" customHeight="1" thickBot="1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9"/>
      <c r="U3" s="48"/>
      <c r="V3" s="48"/>
      <c r="W3" s="48"/>
      <c r="X3" s="48"/>
      <c r="Y3" s="48"/>
      <c r="Z3" s="48"/>
      <c r="AA3" s="48"/>
      <c r="AB3" s="48"/>
      <c r="AC3" s="61"/>
    </row>
    <row r="4" spans="1:30" ht="12.75" customHeight="1">
      <c r="A4" s="248" t="s">
        <v>35</v>
      </c>
      <c r="B4" s="249"/>
      <c r="C4" s="249"/>
      <c r="D4" s="67"/>
      <c r="E4" s="250" t="str">
        <f>IF('recipe form'!E4=0," ",'recipe form'!E4)</f>
        <v xml:space="preserve"> </v>
      </c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1"/>
      <c r="U4" s="86"/>
      <c r="V4" s="86"/>
      <c r="W4" s="86"/>
      <c r="X4" s="86"/>
      <c r="Y4" s="86"/>
      <c r="Z4" s="87"/>
      <c r="AA4" s="87"/>
      <c r="AB4" s="87"/>
      <c r="AC4" s="62"/>
    </row>
    <row r="5" spans="1:30" ht="12.75" customHeight="1">
      <c r="A5" s="252" t="str">
        <f>IF('recipe form'!A5=0," ",'recipe form'!A5)</f>
        <v xml:space="preserve"> 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86"/>
      <c r="V5" s="86"/>
      <c r="W5" s="86"/>
      <c r="X5" s="86"/>
      <c r="Y5" s="86"/>
      <c r="Z5" s="87"/>
      <c r="AA5" s="87"/>
      <c r="AB5" s="87"/>
      <c r="AC5" s="62"/>
    </row>
    <row r="6" spans="1:30" ht="12.75" customHeight="1" thickBot="1">
      <c r="A6" s="255" t="str">
        <f>IF('recipe form'!A6=0," ",'recipe form'!A6)</f>
        <v xml:space="preserve"> 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7"/>
      <c r="U6" s="86"/>
      <c r="V6" s="86"/>
      <c r="W6" s="86"/>
      <c r="X6" s="86"/>
      <c r="Y6" s="86"/>
      <c r="Z6" s="87"/>
      <c r="AA6" s="87"/>
      <c r="AB6" s="87"/>
      <c r="AC6" s="62"/>
    </row>
    <row r="7" spans="1:30" ht="5.25" customHeight="1" thickBo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126"/>
      <c r="R7" s="126"/>
      <c r="S7" s="126"/>
      <c r="T7" s="126"/>
      <c r="U7" s="86"/>
      <c r="V7" s="86"/>
      <c r="W7" s="86"/>
      <c r="X7" s="86"/>
      <c r="Y7" s="86"/>
      <c r="Z7" s="87"/>
      <c r="AA7" s="87"/>
      <c r="AB7" s="87"/>
      <c r="AC7" s="62"/>
    </row>
    <row r="8" spans="1:30" ht="12.75" customHeight="1">
      <c r="A8" s="246" t="s">
        <v>37</v>
      </c>
      <c r="B8" s="247"/>
      <c r="C8" s="247"/>
      <c r="D8" s="81"/>
      <c r="E8" s="250" t="str">
        <f>IF('recipe form'!E8=0," ",'recipe form'!E8)</f>
        <v xml:space="preserve"> </v>
      </c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1"/>
      <c r="U8" s="86"/>
      <c r="V8" s="86"/>
      <c r="W8" s="87"/>
      <c r="X8" s="87"/>
      <c r="Y8" s="87"/>
      <c r="Z8" s="62"/>
    </row>
    <row r="9" spans="1:30" ht="12.75" customHeight="1" thickBot="1">
      <c r="A9" s="243" t="str">
        <f>IF('recipe form'!A9=0," ",'recipe form'!A9)</f>
        <v xml:space="preserve"> 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5"/>
      <c r="U9" s="86"/>
      <c r="V9" s="86"/>
      <c r="W9" s="87"/>
      <c r="X9" s="87"/>
      <c r="Y9" s="87"/>
      <c r="Z9" s="62"/>
    </row>
    <row r="10" spans="1:30" ht="5.2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6"/>
      <c r="V10" s="86"/>
      <c r="W10" s="87"/>
      <c r="X10" s="87"/>
      <c r="Y10" s="87"/>
      <c r="Z10" s="62"/>
    </row>
    <row r="11" spans="1:30" ht="11.25" customHeight="1">
      <c r="A11" s="211" t="s">
        <v>28</v>
      </c>
      <c r="B11" s="212"/>
      <c r="C11" s="212"/>
      <c r="D11" s="212"/>
      <c r="E11" s="212"/>
      <c r="F11" s="212"/>
      <c r="G11" s="212"/>
      <c r="H11" s="212"/>
      <c r="I11" s="213"/>
      <c r="J11" s="16" t="s">
        <v>10</v>
      </c>
      <c r="K11" s="16"/>
      <c r="L11" s="16" t="s">
        <v>11</v>
      </c>
      <c r="N11" s="279" t="s">
        <v>40</v>
      </c>
      <c r="O11" s="280"/>
      <c r="P11" s="89"/>
      <c r="Q11" s="90">
        <f>'recipe form'!Q9</f>
        <v>70</v>
      </c>
      <c r="R11" s="89"/>
      <c r="S11" s="281" t="s">
        <v>41</v>
      </c>
      <c r="T11" s="282"/>
    </row>
    <row r="12" spans="1:30" s="62" customFormat="1" ht="5.25" customHeight="1">
      <c r="A12" s="75"/>
      <c r="B12" s="76"/>
      <c r="C12" s="76"/>
      <c r="D12" s="76"/>
      <c r="E12" s="76"/>
      <c r="F12" s="76"/>
      <c r="G12" s="76"/>
      <c r="H12" s="76"/>
      <c r="I12" s="77"/>
      <c r="J12" s="78"/>
      <c r="K12" s="80"/>
      <c r="L12" s="79"/>
      <c r="N12" s="91"/>
      <c r="O12" s="92"/>
      <c r="P12" s="93"/>
      <c r="Q12" s="94"/>
      <c r="R12" s="95"/>
      <c r="S12" s="94"/>
      <c r="T12" s="96"/>
    </row>
    <row r="13" spans="1:30" ht="11.25" customHeight="1">
      <c r="A13" s="57" t="s">
        <v>0</v>
      </c>
      <c r="B13" s="58"/>
      <c r="C13" s="263" t="str">
        <f>IF('recipe form'!C12=0," ",'recipe form'!C12)</f>
        <v>Fryer Chicken, cut up</v>
      </c>
      <c r="D13" s="263"/>
      <c r="E13" s="263"/>
      <c r="F13" s="263"/>
      <c r="G13" s="263"/>
      <c r="H13" s="263"/>
      <c r="I13" s="264"/>
      <c r="J13" s="97">
        <f>IF('recipe form'!J12=0," ",'recipe form'!J12)</f>
        <v>1.67</v>
      </c>
      <c r="K13" s="74"/>
      <c r="L13" s="98" t="str">
        <f>IF('recipe form'!L12=0," ",'recipe form'!L12)</f>
        <v>ct</v>
      </c>
      <c r="N13" s="99"/>
      <c r="O13" s="100">
        <f>IF('recipe form'!C12=0," ",('recipe form'!J12/'recipe form'!$J$33)*'recipe form'!$Q$9)</f>
        <v>11.69</v>
      </c>
      <c r="P13" s="283"/>
      <c r="Q13" s="101" t="str">
        <f>IF('recipe form'!L12=0," ",'recipe form'!L12)</f>
        <v>ct</v>
      </c>
      <c r="R13" s="102"/>
      <c r="S13" s="102"/>
      <c r="T13" s="103"/>
    </row>
    <row r="14" spans="1:30" ht="11.25" customHeight="1">
      <c r="A14" s="63" t="s">
        <v>1</v>
      </c>
      <c r="B14" s="64"/>
      <c r="C14" s="263" t="str">
        <f>IF('recipe form'!C13=0," ",'recipe form'!C13)</f>
        <v>Egg</v>
      </c>
      <c r="D14" s="263"/>
      <c r="E14" s="263"/>
      <c r="F14" s="263"/>
      <c r="G14" s="263"/>
      <c r="H14" s="263"/>
      <c r="I14" s="264"/>
      <c r="J14" s="104">
        <f>IF('recipe form'!J13=0," ",'recipe form'!J13)</f>
        <v>3.33</v>
      </c>
      <c r="K14" s="70"/>
      <c r="L14" s="98" t="str">
        <f>IF('recipe form'!L13=0," ",'recipe form'!L13)</f>
        <v>ct</v>
      </c>
      <c r="N14" s="105"/>
      <c r="O14" s="106">
        <f>IF('recipe form'!C13=0," ",('recipe form'!J13/'recipe form'!$J$33)*'recipe form'!$Q$9)</f>
        <v>23.310000000000002</v>
      </c>
      <c r="P14" s="284"/>
      <c r="Q14" s="107" t="str">
        <f>IF('recipe form'!L13=0," ",'recipe form'!L13)</f>
        <v>ct</v>
      </c>
      <c r="R14" s="108"/>
      <c r="S14" s="108"/>
      <c r="T14" s="109"/>
    </row>
    <row r="15" spans="1:30" ht="11.25" customHeight="1">
      <c r="A15" s="63" t="s">
        <v>2</v>
      </c>
      <c r="B15" s="64"/>
      <c r="C15" s="263" t="str">
        <f>IF('recipe form'!C14=0," ",'recipe form'!C14)</f>
        <v>Butter</v>
      </c>
      <c r="D15" s="263"/>
      <c r="E15" s="263"/>
      <c r="F15" s="263"/>
      <c r="G15" s="263"/>
      <c r="H15" s="263"/>
      <c r="I15" s="264"/>
      <c r="J15" s="104">
        <f>IF('recipe form'!J14=0," ",'recipe form'!J14)</f>
        <v>3.33</v>
      </c>
      <c r="K15" s="70"/>
      <c r="L15" s="98" t="str">
        <f>IF('recipe form'!L14=0," ",'recipe form'!L14)</f>
        <v>Tbsp</v>
      </c>
      <c r="N15" s="105"/>
      <c r="O15" s="106">
        <f>IF('recipe form'!J14=0," ",('recipe form'!J14/'recipe form'!$J$33)*'recipe form'!$Q$9)</f>
        <v>23.310000000000002</v>
      </c>
      <c r="P15" s="284"/>
      <c r="Q15" s="107" t="str">
        <f>IF('recipe form'!L14=0," ",'recipe form'!L14)</f>
        <v>Tbsp</v>
      </c>
      <c r="R15" s="108"/>
      <c r="S15" s="108"/>
      <c r="T15" s="109"/>
    </row>
    <row r="16" spans="1:30" ht="11.25" customHeight="1">
      <c r="A16" s="63" t="s">
        <v>3</v>
      </c>
      <c r="B16" s="64"/>
      <c r="C16" s="263" t="str">
        <f>IF('recipe form'!C15=0," ",'recipe form'!C15)</f>
        <v>AP Flour</v>
      </c>
      <c r="D16" s="263"/>
      <c r="E16" s="263"/>
      <c r="F16" s="263"/>
      <c r="G16" s="263"/>
      <c r="H16" s="263"/>
      <c r="I16" s="264"/>
      <c r="J16" s="104">
        <f>IF('recipe form'!J15=0," ",'recipe form'!J15)</f>
        <v>1.76</v>
      </c>
      <c r="K16" s="70"/>
      <c r="L16" s="98" t="str">
        <f>IF('recipe form'!L15=0," ",'recipe form'!L15)</f>
        <v>cup</v>
      </c>
      <c r="N16" s="105"/>
      <c r="O16" s="106">
        <f>IF('recipe form'!J15=0," ",('recipe form'!J15/'recipe form'!$J$33)*'recipe form'!$Q$9)</f>
        <v>12.319999999999999</v>
      </c>
      <c r="P16" s="284"/>
      <c r="Q16" s="107" t="str">
        <f>IF('recipe form'!L15=0," ",'recipe form'!L15)</f>
        <v>cup</v>
      </c>
      <c r="R16" s="108"/>
      <c r="S16" s="108"/>
      <c r="T16" s="109"/>
    </row>
    <row r="17" spans="1:20" ht="11.25" customHeight="1">
      <c r="A17" s="63" t="s">
        <v>4</v>
      </c>
      <c r="B17" s="64"/>
      <c r="C17" s="263" t="str">
        <f>IF('recipe form'!C16=0," ",'recipe form'!C16)</f>
        <v>Parsley</v>
      </c>
      <c r="D17" s="263"/>
      <c r="E17" s="263"/>
      <c r="F17" s="263"/>
      <c r="G17" s="263"/>
      <c r="H17" s="263"/>
      <c r="I17" s="264"/>
      <c r="J17" s="104">
        <f>IF('recipe form'!J16=0," ",'recipe form'!J16)</f>
        <v>3.33</v>
      </c>
      <c r="K17" s="70"/>
      <c r="L17" s="98" t="str">
        <f>IF('recipe form'!L16=0," ",'recipe form'!L16)</f>
        <v>Tbsp</v>
      </c>
      <c r="N17" s="105"/>
      <c r="O17" s="106">
        <f>IF('recipe form'!J16=0," ",('recipe form'!J16/'recipe form'!$J$33)*'recipe form'!$Q$9)</f>
        <v>23.310000000000002</v>
      </c>
      <c r="P17" s="284"/>
      <c r="Q17" s="107" t="str">
        <f>IF('recipe form'!L16=0," ",'recipe form'!L16)</f>
        <v>Tbsp</v>
      </c>
      <c r="R17" s="108"/>
      <c r="S17" s="108"/>
      <c r="T17" s="109"/>
    </row>
    <row r="18" spans="1:20" ht="11.25" customHeight="1">
      <c r="A18" s="63" t="s">
        <v>5</v>
      </c>
      <c r="B18" s="64"/>
      <c r="C18" s="263" t="str">
        <f>IF('recipe form'!C17=0," ",'recipe form'!C17)</f>
        <v>Salt</v>
      </c>
      <c r="D18" s="263"/>
      <c r="E18" s="263"/>
      <c r="F18" s="263"/>
      <c r="G18" s="263"/>
      <c r="H18" s="263"/>
      <c r="I18" s="264"/>
      <c r="J18" s="104">
        <f>IF('recipe form'!J17=0," ",'recipe form'!J17)</f>
        <v>5</v>
      </c>
      <c r="K18" s="70"/>
      <c r="L18" s="98" t="str">
        <f>IF('recipe form'!L17=0," ",'recipe form'!L17)</f>
        <v>Tsp</v>
      </c>
      <c r="N18" s="105"/>
      <c r="O18" s="106">
        <f>IF('recipe form'!J17=0," ",('recipe form'!J17/'recipe form'!$J$33)*'recipe form'!$Q$9)</f>
        <v>35</v>
      </c>
      <c r="P18" s="284"/>
      <c r="Q18" s="107" t="str">
        <f>IF('recipe form'!L17=0," ",'recipe form'!L17)</f>
        <v>Tsp</v>
      </c>
      <c r="R18" s="108"/>
      <c r="S18" s="108"/>
      <c r="T18" s="109"/>
    </row>
    <row r="19" spans="1:20" ht="11.25" customHeight="1">
      <c r="A19" s="63" t="s">
        <v>6</v>
      </c>
      <c r="B19" s="64"/>
      <c r="C19" s="263" t="str">
        <f>IF('recipe form'!C18=0," ",'recipe form'!C18)</f>
        <v>Black Pepper</v>
      </c>
      <c r="D19" s="263"/>
      <c r="E19" s="263"/>
      <c r="F19" s="263"/>
      <c r="G19" s="263"/>
      <c r="H19" s="263"/>
      <c r="I19" s="264"/>
      <c r="J19" s="104">
        <f>IF('recipe form'!J18=0," ",'recipe form'!J18)</f>
        <v>0.83</v>
      </c>
      <c r="K19" s="70"/>
      <c r="L19" s="98" t="str">
        <f>IF('recipe form'!L18=0," ",'recipe form'!L18)</f>
        <v>Tsp</v>
      </c>
      <c r="N19" s="105"/>
      <c r="O19" s="106">
        <f>IF('recipe form'!J18=0," ",('recipe form'!J18/'recipe form'!$J$33)*'recipe form'!$Q$9)</f>
        <v>5.81</v>
      </c>
      <c r="P19" s="284"/>
      <c r="Q19" s="107" t="str">
        <f>IF('recipe form'!L18=0," ",'recipe form'!L18)</f>
        <v>Tsp</v>
      </c>
      <c r="R19" s="108"/>
      <c r="S19" s="108"/>
      <c r="T19" s="109"/>
    </row>
    <row r="20" spans="1:20" ht="11.25" customHeight="1">
      <c r="A20" s="63" t="s">
        <v>7</v>
      </c>
      <c r="B20" s="64"/>
      <c r="C20" s="263" t="str">
        <f>IF('recipe form'!C19=0," ",'recipe form'!C19)</f>
        <v>Beer</v>
      </c>
      <c r="D20" s="263"/>
      <c r="E20" s="263"/>
      <c r="F20" s="263"/>
      <c r="G20" s="263"/>
      <c r="H20" s="263"/>
      <c r="I20" s="264"/>
      <c r="J20" s="104">
        <f>IF('recipe form'!J19=0," ",'recipe form'!J19)</f>
        <v>0.83</v>
      </c>
      <c r="K20" s="70"/>
      <c r="L20" s="98" t="str">
        <f>IF('recipe form'!L19=0," ",'recipe form'!L19)</f>
        <v>cup</v>
      </c>
      <c r="N20" s="105"/>
      <c r="O20" s="106">
        <f>IF('recipe form'!J19=0," ",('recipe form'!J19/'recipe form'!$J$33)*'recipe form'!$Q$9)</f>
        <v>5.81</v>
      </c>
      <c r="P20" s="284"/>
      <c r="Q20" s="107" t="str">
        <f>IF('recipe form'!L19=0," ",'recipe form'!L19)</f>
        <v>cup</v>
      </c>
      <c r="R20" s="108"/>
      <c r="S20" s="108"/>
      <c r="T20" s="109"/>
    </row>
    <row r="21" spans="1:20" ht="11.25" customHeight="1">
      <c r="A21" s="63" t="s">
        <v>8</v>
      </c>
      <c r="B21" s="64"/>
      <c r="C21" s="263" t="str">
        <f>IF('recipe form'!C20=0," ",'recipe form'!C20)</f>
        <v>Vegetable Oil for Frying</v>
      </c>
      <c r="D21" s="263"/>
      <c r="E21" s="263"/>
      <c r="F21" s="263"/>
      <c r="G21" s="263"/>
      <c r="H21" s="263"/>
      <c r="I21" s="264"/>
      <c r="J21" s="104" t="str">
        <f>IF('recipe form'!J20=0," ",'recipe form'!J20)</f>
        <v xml:space="preserve"> </v>
      </c>
      <c r="K21" s="70"/>
      <c r="L21" s="98" t="str">
        <f>IF('recipe form'!L20=0," ",'recipe form'!L20)</f>
        <v xml:space="preserve"> </v>
      </c>
      <c r="N21" s="105"/>
      <c r="O21" s="106" t="str">
        <f>IF('recipe form'!J20=0," ",('recipe form'!J20/'recipe form'!$J$33)*'recipe form'!$Q$9)</f>
        <v xml:space="preserve"> </v>
      </c>
      <c r="P21" s="284"/>
      <c r="Q21" s="107" t="str">
        <f>IF('recipe form'!L20=0," ",'recipe form'!L20)</f>
        <v xml:space="preserve"> </v>
      </c>
      <c r="R21" s="108"/>
      <c r="S21" s="108"/>
      <c r="T21" s="109"/>
    </row>
    <row r="22" spans="1:20" ht="11.25" customHeight="1">
      <c r="A22" s="63" t="s">
        <v>9</v>
      </c>
      <c r="B22" s="64"/>
      <c r="C22" s="263" t="str">
        <f>IF('recipe form'!C21=0," ",'recipe form'!C21)</f>
        <v xml:space="preserve"> </v>
      </c>
      <c r="D22" s="263"/>
      <c r="E22" s="263"/>
      <c r="F22" s="263"/>
      <c r="G22" s="263"/>
      <c r="H22" s="263"/>
      <c r="I22" s="264"/>
      <c r="J22" s="104" t="str">
        <f>IF('recipe form'!J21=0," ",'recipe form'!J21)</f>
        <v xml:space="preserve"> </v>
      </c>
      <c r="K22" s="70"/>
      <c r="L22" s="98" t="str">
        <f>IF('recipe form'!L21=0," ",'recipe form'!L21)</f>
        <v xml:space="preserve"> </v>
      </c>
      <c r="N22" s="105"/>
      <c r="O22" s="106" t="str">
        <f>IF('recipe form'!J21=0," ",('recipe form'!J21/'recipe form'!$J$33)*'recipe form'!$Q$9)</f>
        <v xml:space="preserve"> </v>
      </c>
      <c r="P22" s="284"/>
      <c r="Q22" s="107" t="str">
        <f>IF('recipe form'!L21=0," ",'recipe form'!L21)</f>
        <v xml:space="preserve"> </v>
      </c>
      <c r="R22" s="108"/>
      <c r="S22" s="108"/>
      <c r="T22" s="109"/>
    </row>
    <row r="23" spans="1:20" ht="11.25" customHeight="1">
      <c r="A23" s="63" t="s">
        <v>17</v>
      </c>
      <c r="B23" s="64"/>
      <c r="C23" s="263" t="str">
        <f>IF('recipe form'!C22=0," ",'recipe form'!C22)</f>
        <v xml:space="preserve"> </v>
      </c>
      <c r="D23" s="263"/>
      <c r="E23" s="263"/>
      <c r="F23" s="263"/>
      <c r="G23" s="263"/>
      <c r="H23" s="263"/>
      <c r="I23" s="264"/>
      <c r="J23" s="104" t="str">
        <f>IF('recipe form'!J22=0," ",'recipe form'!J22)</f>
        <v xml:space="preserve"> </v>
      </c>
      <c r="K23" s="70"/>
      <c r="L23" s="98" t="str">
        <f>IF('recipe form'!L22=0," ",'recipe form'!L22)</f>
        <v xml:space="preserve"> </v>
      </c>
      <c r="N23" s="105"/>
      <c r="O23" s="106" t="str">
        <f>IF('recipe form'!J22=0," ",('recipe form'!J22/'recipe form'!$J$33)*'recipe form'!$Q$9)</f>
        <v xml:space="preserve"> </v>
      </c>
      <c r="P23" s="284"/>
      <c r="Q23" s="107" t="str">
        <f>IF('recipe form'!L22=0," ",'recipe form'!L22)</f>
        <v xml:space="preserve"> </v>
      </c>
      <c r="R23" s="108"/>
      <c r="S23" s="108"/>
      <c r="T23" s="109"/>
    </row>
    <row r="24" spans="1:20" ht="11.25" customHeight="1">
      <c r="A24" s="63" t="s">
        <v>18</v>
      </c>
      <c r="B24" s="64"/>
      <c r="C24" s="263" t="str">
        <f>IF('recipe form'!C23=0," ",'recipe form'!C23)</f>
        <v xml:space="preserve"> </v>
      </c>
      <c r="D24" s="263"/>
      <c r="E24" s="263"/>
      <c r="F24" s="263"/>
      <c r="G24" s="263"/>
      <c r="H24" s="263"/>
      <c r="I24" s="264"/>
      <c r="J24" s="104" t="str">
        <f>IF('recipe form'!J23=0," ",'recipe form'!J23)</f>
        <v xml:space="preserve"> </v>
      </c>
      <c r="K24" s="70"/>
      <c r="L24" s="98" t="str">
        <f>IF('recipe form'!L23=0," ",'recipe form'!L23)</f>
        <v xml:space="preserve"> </v>
      </c>
      <c r="N24" s="105"/>
      <c r="O24" s="106" t="str">
        <f>IF('recipe form'!J23=0," ",('recipe form'!J23/'recipe form'!$J$33)*'recipe form'!$Q$9)</f>
        <v xml:space="preserve"> </v>
      </c>
      <c r="P24" s="284"/>
      <c r="Q24" s="107" t="str">
        <f>IF('recipe form'!L23=0," ",'recipe form'!L23)</f>
        <v xml:space="preserve"> </v>
      </c>
      <c r="R24" s="108"/>
      <c r="S24" s="108"/>
      <c r="T24" s="109"/>
    </row>
    <row r="25" spans="1:20" ht="11.25" customHeight="1">
      <c r="A25" s="63" t="s">
        <v>19</v>
      </c>
      <c r="B25" s="64"/>
      <c r="C25" s="263" t="str">
        <f>IF('recipe form'!C24=0," ",'recipe form'!C24)</f>
        <v xml:space="preserve"> </v>
      </c>
      <c r="D25" s="263"/>
      <c r="E25" s="263"/>
      <c r="F25" s="263"/>
      <c r="G25" s="263"/>
      <c r="H25" s="263"/>
      <c r="I25" s="264"/>
      <c r="J25" s="104" t="str">
        <f>IF('recipe form'!J24=0," ",'recipe form'!J24)</f>
        <v xml:space="preserve"> </v>
      </c>
      <c r="K25" s="70"/>
      <c r="L25" s="98" t="str">
        <f>IF('recipe form'!L24=0," ",'recipe form'!L24)</f>
        <v xml:space="preserve"> </v>
      </c>
      <c r="N25" s="105"/>
      <c r="O25" s="106" t="str">
        <f>IF('recipe form'!J24=0," ",('recipe form'!J24/'recipe form'!$J$33)*'recipe form'!$Q$9)</f>
        <v xml:space="preserve"> </v>
      </c>
      <c r="P25" s="284"/>
      <c r="Q25" s="107" t="str">
        <f>IF('recipe form'!L24=0," ",'recipe form'!L24)</f>
        <v xml:space="preserve"> </v>
      </c>
      <c r="R25" s="108"/>
      <c r="S25" s="108"/>
      <c r="T25" s="109"/>
    </row>
    <row r="26" spans="1:20" ht="11.25" customHeight="1">
      <c r="A26" s="63" t="s">
        <v>20</v>
      </c>
      <c r="B26" s="64"/>
      <c r="C26" s="263" t="str">
        <f>IF('recipe form'!C25=0," ",'recipe form'!C25)</f>
        <v xml:space="preserve"> </v>
      </c>
      <c r="D26" s="263"/>
      <c r="E26" s="263"/>
      <c r="F26" s="263"/>
      <c r="G26" s="263"/>
      <c r="H26" s="263"/>
      <c r="I26" s="264"/>
      <c r="J26" s="104" t="str">
        <f>IF('recipe form'!J25=0," ",'recipe form'!J25)</f>
        <v xml:space="preserve"> </v>
      </c>
      <c r="K26" s="70"/>
      <c r="L26" s="98" t="str">
        <f>IF('recipe form'!L25=0," ",'recipe form'!L25)</f>
        <v xml:space="preserve"> </v>
      </c>
      <c r="N26" s="105"/>
      <c r="O26" s="106" t="str">
        <f>IF('recipe form'!J25=0," ",('recipe form'!J25/'recipe form'!$J$33)*'recipe form'!$Q$9)</f>
        <v xml:space="preserve"> </v>
      </c>
      <c r="P26" s="284"/>
      <c r="Q26" s="107" t="str">
        <f>IF('recipe form'!L25=0," ",'recipe form'!L25)</f>
        <v xml:space="preserve"> </v>
      </c>
      <c r="R26" s="108"/>
      <c r="S26" s="108"/>
      <c r="T26" s="109"/>
    </row>
    <row r="27" spans="1:20" ht="11.25" customHeight="1">
      <c r="A27" s="63" t="s">
        <v>21</v>
      </c>
      <c r="B27" s="64"/>
      <c r="C27" s="263" t="str">
        <f>IF('recipe form'!C26=0," ",'recipe form'!C26)</f>
        <v xml:space="preserve"> </v>
      </c>
      <c r="D27" s="263"/>
      <c r="E27" s="263"/>
      <c r="F27" s="263"/>
      <c r="G27" s="263"/>
      <c r="H27" s="263"/>
      <c r="I27" s="264"/>
      <c r="J27" s="104" t="str">
        <f>IF('recipe form'!J26=0," ",'recipe form'!J26)</f>
        <v xml:space="preserve"> </v>
      </c>
      <c r="K27" s="70"/>
      <c r="L27" s="98" t="str">
        <f>IF('recipe form'!L26=0," ",'recipe form'!L26)</f>
        <v xml:space="preserve"> </v>
      </c>
      <c r="N27" s="105"/>
      <c r="O27" s="106" t="str">
        <f>IF('recipe form'!J26=0," ",('recipe form'!J26/'recipe form'!$J$33)*'recipe form'!$Q$9)</f>
        <v xml:space="preserve"> </v>
      </c>
      <c r="P27" s="284"/>
      <c r="Q27" s="107" t="str">
        <f>IF('recipe form'!L26=0," ",'recipe form'!L26)</f>
        <v xml:space="preserve"> </v>
      </c>
      <c r="R27" s="108"/>
      <c r="S27" s="108"/>
      <c r="T27" s="109"/>
    </row>
    <row r="28" spans="1:20" ht="11.25" customHeight="1">
      <c r="A28" s="63" t="s">
        <v>22</v>
      </c>
      <c r="B28" s="64"/>
      <c r="C28" s="263" t="str">
        <f>IF('recipe form'!C27=0," ",'recipe form'!C27)</f>
        <v xml:space="preserve"> </v>
      </c>
      <c r="D28" s="263"/>
      <c r="E28" s="263"/>
      <c r="F28" s="263"/>
      <c r="G28" s="263"/>
      <c r="H28" s="263"/>
      <c r="I28" s="264"/>
      <c r="J28" s="104" t="str">
        <f>IF('recipe form'!J27=0," ",'recipe form'!J27)</f>
        <v xml:space="preserve"> </v>
      </c>
      <c r="K28" s="70"/>
      <c r="L28" s="98" t="str">
        <f>IF('recipe form'!L27=0," ",'recipe form'!L27)</f>
        <v xml:space="preserve"> </v>
      </c>
      <c r="N28" s="105"/>
      <c r="O28" s="106" t="str">
        <f>IF('recipe form'!J27=0," ",('recipe form'!J27/'recipe form'!$J$33)*'recipe form'!$Q$9)</f>
        <v xml:space="preserve"> </v>
      </c>
      <c r="P28" s="284"/>
      <c r="Q28" s="107" t="str">
        <f>IF('recipe form'!L27=0," ",'recipe form'!L27)</f>
        <v xml:space="preserve"> </v>
      </c>
      <c r="R28" s="108"/>
      <c r="S28" s="108"/>
      <c r="T28" s="109"/>
    </row>
    <row r="29" spans="1:20" ht="11.25" customHeight="1">
      <c r="A29" s="63" t="s">
        <v>23</v>
      </c>
      <c r="B29" s="64"/>
      <c r="C29" s="263" t="str">
        <f>IF('recipe form'!C28=0," ",'recipe form'!C28)</f>
        <v xml:space="preserve"> </v>
      </c>
      <c r="D29" s="263"/>
      <c r="E29" s="263"/>
      <c r="F29" s="263"/>
      <c r="G29" s="263"/>
      <c r="H29" s="263"/>
      <c r="I29" s="264"/>
      <c r="J29" s="104" t="str">
        <f>IF('recipe form'!J28=0," ",'recipe form'!J28)</f>
        <v xml:space="preserve"> </v>
      </c>
      <c r="K29" s="70"/>
      <c r="L29" s="98" t="str">
        <f>IF('recipe form'!L28=0," ",'recipe form'!L28)</f>
        <v xml:space="preserve"> </v>
      </c>
      <c r="N29" s="105"/>
      <c r="O29" s="106" t="str">
        <f>IF('recipe form'!J28=0," ",('recipe form'!J28/'recipe form'!$J$33)*'recipe form'!$Q$9)</f>
        <v xml:space="preserve"> </v>
      </c>
      <c r="P29" s="284"/>
      <c r="Q29" s="107" t="str">
        <f>IF('recipe form'!L28=0," ",'recipe form'!L28)</f>
        <v xml:space="preserve"> </v>
      </c>
      <c r="R29" s="108"/>
      <c r="S29" s="108"/>
      <c r="T29" s="109"/>
    </row>
    <row r="30" spans="1:20" ht="11.25" customHeight="1">
      <c r="A30" s="63" t="s">
        <v>24</v>
      </c>
      <c r="B30" s="64"/>
      <c r="C30" s="263" t="str">
        <f>IF('recipe form'!C29=0," ",'recipe form'!C29)</f>
        <v xml:space="preserve"> </v>
      </c>
      <c r="D30" s="263"/>
      <c r="E30" s="263"/>
      <c r="F30" s="263"/>
      <c r="G30" s="263"/>
      <c r="H30" s="263"/>
      <c r="I30" s="264"/>
      <c r="J30" s="104" t="str">
        <f>IF('recipe form'!J29=0," ",'recipe form'!J29)</f>
        <v xml:space="preserve"> </v>
      </c>
      <c r="K30" s="70"/>
      <c r="L30" s="98" t="str">
        <f>IF('recipe form'!L29=0," ",'recipe form'!L29)</f>
        <v xml:space="preserve"> </v>
      </c>
      <c r="N30" s="105"/>
      <c r="O30" s="106" t="str">
        <f>IF('recipe form'!J29=0," ",('recipe form'!J29/'recipe form'!$J$33)*'recipe form'!$Q$9)</f>
        <v xml:space="preserve"> </v>
      </c>
      <c r="P30" s="284"/>
      <c r="Q30" s="107" t="str">
        <f>IF('recipe form'!L29=0," ",'recipe form'!L29)</f>
        <v xml:space="preserve"> </v>
      </c>
      <c r="R30" s="108"/>
      <c r="S30" s="108"/>
      <c r="T30" s="109"/>
    </row>
    <row r="31" spans="1:20" ht="11.25" customHeight="1">
      <c r="A31" s="63" t="s">
        <v>25</v>
      </c>
      <c r="B31" s="64"/>
      <c r="C31" s="263" t="str">
        <f>IF('recipe form'!C30=0," ",'recipe form'!C30)</f>
        <v xml:space="preserve"> </v>
      </c>
      <c r="D31" s="263"/>
      <c r="E31" s="263"/>
      <c r="F31" s="263"/>
      <c r="G31" s="263"/>
      <c r="H31" s="263"/>
      <c r="I31" s="264"/>
      <c r="J31" s="104" t="str">
        <f>IF('recipe form'!J30=0," ",'recipe form'!J30)</f>
        <v xml:space="preserve"> </v>
      </c>
      <c r="K31" s="70"/>
      <c r="L31" s="98" t="str">
        <f>IF('recipe form'!L30=0," ",'recipe form'!L30)</f>
        <v xml:space="preserve"> </v>
      </c>
      <c r="N31" s="105"/>
      <c r="O31" s="106" t="str">
        <f>IF('recipe form'!J30=0," ",('recipe form'!J30/'recipe form'!$J$33)*'recipe form'!$Q$9)</f>
        <v xml:space="preserve"> </v>
      </c>
      <c r="P31" s="284"/>
      <c r="Q31" s="107" t="str">
        <f>IF('recipe form'!L30=0," ",'recipe form'!L30)</f>
        <v xml:space="preserve"> </v>
      </c>
      <c r="R31" s="108"/>
      <c r="S31" s="108"/>
      <c r="T31" s="109"/>
    </row>
    <row r="32" spans="1:20" ht="11.25" customHeight="1">
      <c r="A32" s="65" t="s">
        <v>26</v>
      </c>
      <c r="B32" s="66"/>
      <c r="C32" s="271" t="str">
        <f>IF('recipe form'!C31=0," ",'recipe form'!C31)</f>
        <v xml:space="preserve"> </v>
      </c>
      <c r="D32" s="271"/>
      <c r="E32" s="271"/>
      <c r="F32" s="271"/>
      <c r="G32" s="271"/>
      <c r="H32" s="271"/>
      <c r="I32" s="272"/>
      <c r="J32" s="104" t="str">
        <f>IF('recipe form'!J31=0," ",'recipe form'!J31)</f>
        <v xml:space="preserve"> </v>
      </c>
      <c r="K32" s="71"/>
      <c r="L32" s="98" t="str">
        <f>IF('recipe form'!L31=0," ",'recipe form'!L31)</f>
        <v xml:space="preserve"> </v>
      </c>
      <c r="N32" s="110"/>
      <c r="O32" s="111" t="str">
        <f>IF('recipe form'!J31=0," ",('recipe form'!J31/'recipe form'!$J$33)*'recipe form'!$Q$9)</f>
        <v xml:space="preserve"> </v>
      </c>
      <c r="P32" s="285"/>
      <c r="Q32" s="112" t="str">
        <f>IF('recipe form'!L31=0," ",'recipe form'!L31)</f>
        <v xml:space="preserve"> </v>
      </c>
      <c r="R32" s="113"/>
      <c r="S32" s="113"/>
      <c r="T32" s="114"/>
    </row>
    <row r="33" spans="1:20" ht="5.25" customHeight="1" thickBot="1">
      <c r="A33" s="72"/>
      <c r="B33" s="73"/>
      <c r="C33" s="24"/>
      <c r="D33" s="24"/>
      <c r="E33" s="24"/>
      <c r="F33" s="24"/>
      <c r="G33" s="24"/>
      <c r="H33" s="24"/>
      <c r="I33" s="24"/>
      <c r="J33" s="115"/>
      <c r="K33" s="26"/>
      <c r="L33" s="116"/>
    </row>
    <row r="34" spans="1:20" ht="12.75" customHeight="1" thickBot="1">
      <c r="A34" s="24"/>
      <c r="B34" s="24"/>
      <c r="C34" s="24"/>
      <c r="D34" s="24"/>
      <c r="E34" s="115"/>
      <c r="F34" s="26"/>
      <c r="G34" s="116"/>
      <c r="H34" s="117"/>
      <c r="I34" s="286" t="s">
        <v>39</v>
      </c>
      <c r="J34" s="286"/>
      <c r="K34" s="118"/>
      <c r="L34" s="119">
        <f>IF('recipe form'!J33=0," ",'recipe form'!J33)</f>
        <v>10</v>
      </c>
    </row>
    <row r="35" spans="1:20" ht="5.25" customHeight="1">
      <c r="A35" s="72"/>
      <c r="B35" s="73"/>
      <c r="C35" s="24"/>
      <c r="D35" s="24"/>
      <c r="E35" s="24"/>
      <c r="F35" s="24"/>
      <c r="G35" s="24"/>
      <c r="H35" s="24"/>
      <c r="I35" s="24"/>
      <c r="J35" s="115"/>
      <c r="K35" s="26"/>
      <c r="L35" s="116"/>
    </row>
    <row r="36" spans="1:20" ht="5.25" customHeight="1" thickBot="1"/>
    <row r="37" spans="1:20" s="120" customFormat="1" ht="10.7" customHeight="1">
      <c r="A37" s="265" t="s">
        <v>12</v>
      </c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7"/>
    </row>
    <row r="38" spans="1:20" s="120" customFormat="1" ht="10.7" customHeight="1">
      <c r="A38" s="268" t="str">
        <f>IF('recipe form'!A38=0," ",'recipe form'!A38)</f>
        <v xml:space="preserve">    1, Rub chicken with 2 tsp of the salt and 1/4 tsp of the pepper. Cover loosely with platisc wrap and refrigerate 1 hour.    2, Sift flour and remaining salt and pepper into a medium bowl. Beat in the eggs and beer until smooth. Add butter or maragarine and parsley; stir to combine. 3, Dip chicken, 1 piece at a time, in battter, turning chicken to caot heavily and evenly with batter. Let excess batter drip off. Place battered chicken on a backing sheet so they don't touch one another. Refrigertae, uncovered, 1 hour.   4, Preheat over to 350F. In a large saucepan or deep fryer, heat vetagable oil to 360F. Fry chciken until turns a light colour, about 10 mintues. Remove chicken; drain on paper towels. Arrange fried chicken in a shallow baking dish. Bake, uncovered, 20 to 30 mins or until crispy and browned.</v>
      </c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70"/>
    </row>
    <row r="39" spans="1:20" s="120" customFormat="1" ht="10.7" customHeight="1">
      <c r="A39" s="268" t="str">
        <f>IF('recipe form'!A39=0," ",'recipe form'!A39)</f>
        <v xml:space="preserve"> </v>
      </c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70"/>
    </row>
    <row r="40" spans="1:20" s="120" customFormat="1" ht="10.7" customHeight="1">
      <c r="A40" s="268" t="str">
        <f>IF('recipe form'!A40=0," ",'recipe form'!A40)</f>
        <v xml:space="preserve"> </v>
      </c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70"/>
    </row>
    <row r="41" spans="1:20" s="120" customFormat="1" ht="10.7" customHeight="1">
      <c r="A41" s="268" t="str">
        <f>IF('recipe form'!A41=0," ",'recipe form'!A41)</f>
        <v xml:space="preserve"> </v>
      </c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70"/>
    </row>
    <row r="42" spans="1:20" s="120" customFormat="1" ht="10.7" customHeight="1">
      <c r="A42" s="268" t="str">
        <f>IF('recipe form'!A42=0," ",'recipe form'!A42)</f>
        <v xml:space="preserve"> </v>
      </c>
      <c r="B42" s="26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70"/>
    </row>
    <row r="43" spans="1:20" s="120" customFormat="1" ht="10.7" customHeight="1">
      <c r="A43" s="268" t="str">
        <f>IF('recipe form'!A43=0," ",'recipe form'!A43)</f>
        <v xml:space="preserve"> </v>
      </c>
      <c r="B43" s="26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70"/>
    </row>
    <row r="44" spans="1:20" s="120" customFormat="1" ht="10.7" customHeight="1">
      <c r="A44" s="268" t="str">
        <f>IF('recipe form'!A44=0," ",'recipe form'!A44)</f>
        <v xml:space="preserve"> </v>
      </c>
      <c r="B44" s="26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70"/>
    </row>
    <row r="45" spans="1:20" s="120" customFormat="1" ht="10.7" customHeight="1">
      <c r="A45" s="268" t="str">
        <f>IF('recipe form'!A45=0," ",'recipe form'!A45)</f>
        <v xml:space="preserve"> </v>
      </c>
      <c r="B45" s="26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70"/>
    </row>
    <row r="46" spans="1:20" s="120" customFormat="1" ht="10.7" customHeight="1">
      <c r="A46" s="268" t="str">
        <f>IF('recipe form'!A46=0," ",'recipe form'!A46)</f>
        <v xml:space="preserve"> </v>
      </c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70"/>
    </row>
    <row r="47" spans="1:20" s="120" customFormat="1" ht="10.7" customHeight="1">
      <c r="A47" s="268" t="str">
        <f>IF('recipe form'!A48:K48=0," ",'recipe form'!A48:K48)</f>
        <v xml:space="preserve"> </v>
      </c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70"/>
    </row>
    <row r="48" spans="1:20" s="120" customFormat="1" ht="10.7" customHeight="1">
      <c r="A48" s="268" t="str">
        <f>IF('additional instructions'!A17=0," ",'additional instructions'!A17)</f>
        <v xml:space="preserve"> </v>
      </c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70"/>
    </row>
    <row r="49" spans="1:20" s="120" customFormat="1" ht="10.7" customHeight="1">
      <c r="A49" s="268" t="str">
        <f>IF('additional instructions'!A18=0," ",'additional instructions'!A18)</f>
        <v xml:space="preserve"> </v>
      </c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70"/>
    </row>
    <row r="50" spans="1:20" s="120" customFormat="1" ht="10.7" customHeight="1">
      <c r="A50" s="268" t="str">
        <f>IF('additional instructions'!A19=0," ",'additional instructions'!A19)</f>
        <v xml:space="preserve"> </v>
      </c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70"/>
    </row>
    <row r="51" spans="1:20" s="120" customFormat="1" ht="10.7" customHeight="1">
      <c r="A51" s="268" t="str">
        <f>IF('additional instructions'!A20=0," ",'additional instructions'!A20)</f>
        <v xml:space="preserve"> </v>
      </c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70"/>
    </row>
    <row r="52" spans="1:20" s="120" customFormat="1" ht="10.7" customHeight="1">
      <c r="A52" s="268" t="str">
        <f>IF('additional instructions'!A21=0," ",'additional instructions'!A21)</f>
        <v xml:space="preserve"> </v>
      </c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70"/>
    </row>
    <row r="53" spans="1:20" s="120" customFormat="1" ht="10.7" customHeight="1">
      <c r="A53" s="268" t="str">
        <f>IF('additional instructions'!A22=0," ",'additional instructions'!A22)</f>
        <v xml:space="preserve"> </v>
      </c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70"/>
    </row>
    <row r="54" spans="1:20" s="120" customFormat="1" ht="10.7" customHeight="1" thickBot="1">
      <c r="A54" s="255" t="str">
        <f>IF('additional instructions'!A23=0," ",'additional instructions'!A23)</f>
        <v xml:space="preserve"> </v>
      </c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7"/>
    </row>
    <row r="55" spans="1:20" ht="5.25" customHeight="1" thickBot="1"/>
    <row r="56" spans="1:20" ht="10.5" customHeight="1">
      <c r="A56" s="273" t="s">
        <v>13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5"/>
    </row>
    <row r="57" spans="1:20" s="62" customFormat="1" ht="10.5" customHeight="1">
      <c r="A57" s="276" t="str">
        <f>IF('recipe form'!A52=0," ",'recipe form'!A52)</f>
        <v xml:space="preserve"> </v>
      </c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8"/>
    </row>
    <row r="58" spans="1:20" ht="10.5" customHeight="1">
      <c r="A58" s="276" t="str">
        <f>IF('recipe form'!A53=0," ",'recipe form'!A53)</f>
        <v xml:space="preserve"> 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8"/>
    </row>
    <row r="59" spans="1:20" ht="10.5" customHeight="1">
      <c r="A59" s="268" t="str">
        <f>IF('recipe form'!A54:Q54=0," ",'recipe form'!A54:Q54)</f>
        <v xml:space="preserve"> </v>
      </c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70"/>
    </row>
    <row r="60" spans="1:20" ht="10.5" customHeight="1">
      <c r="A60" s="268" t="str">
        <f>IF('recipe form'!A55:Q55=0," ",'recipe form'!A55:Q55)</f>
        <v xml:space="preserve"> </v>
      </c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70"/>
    </row>
    <row r="61" spans="1:20" ht="10.5" customHeight="1">
      <c r="A61" s="268" t="str">
        <f>IF('recipe form'!A56:Q56=0," ",'recipe form'!A56:Q56)</f>
        <v xml:space="preserve"> </v>
      </c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70"/>
    </row>
    <row r="62" spans="1:20" ht="10.5" customHeight="1">
      <c r="A62" s="268" t="str">
        <f>IF('recipe form'!A57:Q57=0," ",'recipe form'!A57:Q57)</f>
        <v xml:space="preserve"> </v>
      </c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70"/>
    </row>
    <row r="63" spans="1:20" ht="10.5" customHeight="1">
      <c r="A63" s="268" t="str">
        <f>IF('recipe form'!A58:Q58=0," ",'recipe form'!A58:Q58)</f>
        <v xml:space="preserve"> </v>
      </c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70"/>
    </row>
    <row r="64" spans="1:20" ht="10.5" customHeight="1">
      <c r="A64" s="268" t="str">
        <f>IF('recipe form'!A59:Q59=0," ",'recipe form'!A59:Q59)</f>
        <v xml:space="preserve"> </v>
      </c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70"/>
    </row>
    <row r="65" spans="1:20" ht="10.5" customHeight="1">
      <c r="A65" s="268" t="str">
        <f>IF('recipe form'!A60:K60=0," ",'recipe form'!A60:K60)</f>
        <v xml:space="preserve"> </v>
      </c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70"/>
    </row>
    <row r="66" spans="1:20" ht="10.5" customHeight="1">
      <c r="A66" s="268" t="str">
        <f>IF('additional comments'!A15=0," ",'additional comments'!A15)</f>
        <v xml:space="preserve"> </v>
      </c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70"/>
    </row>
    <row r="67" spans="1:20" ht="10.5" customHeight="1" thickBot="1">
      <c r="A67" s="255" t="str">
        <f>IF('additional comments'!A16=0," ",'additional comments'!A16)</f>
        <v xml:space="preserve"> 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7"/>
    </row>
  </sheetData>
  <sheetProtection sheet="1" objects="1" scenarios="1"/>
  <mergeCells count="69">
    <mergeCell ref="C29:I29"/>
    <mergeCell ref="C30:I30"/>
    <mergeCell ref="C31:I31"/>
    <mergeCell ref="C24:I24"/>
    <mergeCell ref="C25:I25"/>
    <mergeCell ref="A63:T63"/>
    <mergeCell ref="A65:T65"/>
    <mergeCell ref="A66:T66"/>
    <mergeCell ref="A67:T67"/>
    <mergeCell ref="A64:T64"/>
    <mergeCell ref="N11:O11"/>
    <mergeCell ref="S11:T11"/>
    <mergeCell ref="P13:P32"/>
    <mergeCell ref="I34:J34"/>
    <mergeCell ref="C28:I28"/>
    <mergeCell ref="A57:T57"/>
    <mergeCell ref="A58:T58"/>
    <mergeCell ref="A59:T59"/>
    <mergeCell ref="A60:T60"/>
    <mergeCell ref="A61:T61"/>
    <mergeCell ref="A62:T62"/>
    <mergeCell ref="A50:T50"/>
    <mergeCell ref="A51:T51"/>
    <mergeCell ref="A52:T52"/>
    <mergeCell ref="A53:T53"/>
    <mergeCell ref="A54:T54"/>
    <mergeCell ref="A56:T56"/>
    <mergeCell ref="A42:T42"/>
    <mergeCell ref="A43:T43"/>
    <mergeCell ref="A48:T48"/>
    <mergeCell ref="A49:T49"/>
    <mergeCell ref="A44:T44"/>
    <mergeCell ref="A45:T45"/>
    <mergeCell ref="A46:T46"/>
    <mergeCell ref="A47:T47"/>
    <mergeCell ref="A37:T37"/>
    <mergeCell ref="A38:T38"/>
    <mergeCell ref="A39:T39"/>
    <mergeCell ref="C32:I32"/>
    <mergeCell ref="A40:T40"/>
    <mergeCell ref="A41:T41"/>
    <mergeCell ref="C18:I18"/>
    <mergeCell ref="C19:I19"/>
    <mergeCell ref="C26:I26"/>
    <mergeCell ref="C27:I27"/>
    <mergeCell ref="C20:I20"/>
    <mergeCell ref="C21:I21"/>
    <mergeCell ref="C22:I22"/>
    <mergeCell ref="C23:I23"/>
    <mergeCell ref="A11:I11"/>
    <mergeCell ref="C13:I13"/>
    <mergeCell ref="C14:I14"/>
    <mergeCell ref="C15:I15"/>
    <mergeCell ref="C16:I16"/>
    <mergeCell ref="C17:I17"/>
    <mergeCell ref="D1:E1"/>
    <mergeCell ref="G1:O1"/>
    <mergeCell ref="Q1:T1"/>
    <mergeCell ref="D2:E2"/>
    <mergeCell ref="G2:O2"/>
    <mergeCell ref="Q2:T2"/>
    <mergeCell ref="A9:T9"/>
    <mergeCell ref="Q7:T7"/>
    <mergeCell ref="A8:C8"/>
    <mergeCell ref="A4:C4"/>
    <mergeCell ref="E4:T4"/>
    <mergeCell ref="A5:T5"/>
    <mergeCell ref="A6:T6"/>
    <mergeCell ref="E8:T8"/>
  </mergeCells>
  <phoneticPr fontId="0" type="noConversion"/>
  <pageMargins left="0.75" right="0.75" top="0.56000000000000005" bottom="0.69" header="0.63" footer="0.5"/>
  <pageSetup orientation="portrait" r:id="rId1"/>
  <headerFooter alignWithMargins="0">
    <oddHeader>&amp;L&amp;"Tahoma,Regular"&amp;14          &amp;D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recipe form</vt:lpstr>
      <vt:lpstr>additional instructions</vt:lpstr>
      <vt:lpstr>additional comments</vt:lpstr>
      <vt:lpstr>end recipe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2000-11-01T19:55:10Z</cp:lastPrinted>
  <dcterms:created xsi:type="dcterms:W3CDTF">2000-10-24T15:57:25Z</dcterms:created>
  <dcterms:modified xsi:type="dcterms:W3CDTF">2011-07-18T00:02:29Z</dcterms:modified>
</cp:coreProperties>
</file>