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<sst xmlns="http://schemas.openxmlformats.org/spreadsheetml/2006/main" count="51" uniqueCount="46">
  <si>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</si>
  <si>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</si>
  <si>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</si>
  <si>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</si>
  <si>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</si>
  <si>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</si>
  <si>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</si>
  <si>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</si>
  <si>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</si>
  <si>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</si>
  <si>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</si>
  <si>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</si>
  <si>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</si>
  <si>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</si>
  <si>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</si>
  <si>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</si>
  <si>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</si>
  <si>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</si>
  <si>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</si>
  <si>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</si>
  <si>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</si>
  <si>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</si>
  <si>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</si>
  <si>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</si>
  <si>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</si>
  <si>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</si>
  <si>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</si>
  <si>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</si>
  <si>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</si>
  <si>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</si>
  <si>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</si>
  <si>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</si>
  <si>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</si>
  <si>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</si>
  <si>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</si>
  <si>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</si>
  <si>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Buttermilk Biscuits</t>
  </si>
  <si>
    <t>AP Flour</t>
  </si>
  <si>
    <t>Baking Powder</t>
  </si>
  <si>
    <t>Salt</t>
  </si>
  <si>
    <t>Shorttening</t>
  </si>
  <si>
    <t>Buttermilk</t>
  </si>
  <si>
    <t>c</t>
  </si>
  <si>
    <t>t</t>
  </si>
  <si>
    <t>In a bowl, combine flour, baking powder and salt. Cut in the shortening until crumbly. Stir in the buttermilk just until moistened. Knead on a floured surface for 1 minute. Roll out to 1/2-in. thickness; cut with a 2-1/2-in. biscuit cutter. Place on a greased baking sheet. Bake at 450 degrees F for 10-12 minutes or until golden brown.</t>
  </si>
  <si>
    <t>Baking soda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</si>
</sst>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20" zoomScaleNormal="100" zoomScaleSheetLayoutView="110" workbookViewId="0">
      <selection activeCell="Q10" sqref="Q10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200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2</v>
      </c>
      <c r="K12" s="15"/>
      <c r="L12" s="33" t="s">
        <v>42</v>
      </c>
      <c r="M12" s="16"/>
      <c r="N12" s="29">
        <f t="shared" ref="N12:N31" si="0">IF(C12=0," ",(J12/$J$33)*50)</f>
        <v>10</v>
      </c>
      <c r="O12" s="30">
        <f t="shared" ref="O12:O31" si="1">IF(C12=0," ",(J12/$J$33)*75)</f>
        <v>15</v>
      </c>
      <c r="P12" s="30"/>
      <c r="Q12" s="82">
        <f t="shared" ref="Q12:Q31" si="2">IF(C12=0," ",(J12/$J$33)*$Q$9)</f>
        <v>40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2.5</v>
      </c>
      <c r="K13" s="64"/>
      <c r="L13" s="70" t="s">
        <v>43</v>
      </c>
      <c r="M13" s="65"/>
      <c r="N13" s="66">
        <f t="shared" si="0"/>
        <v>12.5</v>
      </c>
      <c r="O13" s="67">
        <f t="shared" si="1"/>
        <v>18.75</v>
      </c>
      <c r="P13" s="67"/>
      <c r="Q13" s="78">
        <f>IF(C13=0," ",(J13/$J$33)*$Q$9)</f>
        <v>50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0.125</v>
      </c>
      <c r="K14" s="15"/>
      <c r="L14" s="34" t="s">
        <v>43</v>
      </c>
      <c r="M14" s="16"/>
      <c r="N14" s="29">
        <f t="shared" si="0"/>
        <v>0.625</v>
      </c>
      <c r="O14" s="30">
        <f t="shared" si="1"/>
        <v>0.9375</v>
      </c>
      <c r="P14" s="30"/>
      <c r="Q14" s="82">
        <f>IF(C14=0," ",(J14/$J$33)*$Q$9)</f>
        <v>2.5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0.33333333333333331</v>
      </c>
      <c r="K15" s="64"/>
      <c r="L15" s="70" t="s">
        <v>42</v>
      </c>
      <c r="M15" s="71"/>
      <c r="N15" s="66">
        <f t="shared" si="0"/>
        <v>1.6666666666666667</v>
      </c>
      <c r="O15" s="67">
        <f t="shared" si="1"/>
        <v>2.5</v>
      </c>
      <c r="P15" s="67"/>
      <c r="Q15" s="78">
        <f>IF(C15=0," ",(J15/$J$33)*$Q$9)</f>
        <v>6.666666666666667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0.75</v>
      </c>
      <c r="K16" s="15"/>
      <c r="L16" s="34" t="s">
        <v>42</v>
      </c>
      <c r="M16" s="16"/>
      <c r="N16" s="29">
        <f t="shared" si="0"/>
        <v>3.75</v>
      </c>
      <c r="O16" s="30">
        <f t="shared" si="1"/>
        <v>5.625</v>
      </c>
      <c r="P16" s="30"/>
      <c r="Q16" s="82">
        <f t="shared" si="2"/>
        <v>15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45</v>
      </c>
      <c r="D17" s="109"/>
      <c r="E17" s="109"/>
      <c r="F17" s="109"/>
      <c r="G17" s="109"/>
      <c r="H17" s="109"/>
      <c r="I17" s="110"/>
      <c r="J17" s="63">
        <v>0.25</v>
      </c>
      <c r="K17" s="64"/>
      <c r="L17" s="70" t="s">
        <v>43</v>
      </c>
      <c r="M17" s="65"/>
      <c r="N17" s="66">
        <f t="shared" si="0"/>
        <v>1.25</v>
      </c>
      <c r="O17" s="67">
        <f t="shared" si="1"/>
        <v>1.875</v>
      </c>
      <c r="P17" s="67"/>
      <c r="Q17" s="78">
        <f>IF(C17=0," ",(J17/$J$33)*$Q$9)</f>
        <v>5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10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2012-08-08T00:16:07Z</dcterms:modified>
</cp:coreProperties>
</file>