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<sst xmlns="http://schemas.openxmlformats.org/spreadsheetml/2006/main" count="56" uniqueCount="50">
  <si>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</si>
  <si>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</si>
  <si>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</si>
  <si>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</si>
  <si>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</si>
  <si>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</si>
  <si>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</si>
  <si>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</si>
  <si>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</si>
  <si>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</si>
  <si>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</si>
  <si>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</si>
  <si>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</si>
  <si>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</si>
  <si>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</si>
  <si>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</si>
  <si>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</si>
  <si>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</si>
  <si>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</si>
  <si>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</si>
  <si>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</si>
  <si>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</si>
  <si>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</si>
  <si>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</si>
  <si>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</si>
  <si>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</si>
  <si>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</si>
  <si>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</si>
  <si>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</si>
  <si>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</si>
  <si>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</si>
  <si>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</si>
  <si>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</si>
  <si>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</si>
  <si>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</si>
  <si>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</si>
  <si>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Anzac Biscuits</t>
  </si>
  <si>
    <t>Rolled oats</t>
  </si>
  <si>
    <t>AP flour</t>
  </si>
  <si>
    <t>brown sugar -packed</t>
  </si>
  <si>
    <t>Coconut -shredded sweetened</t>
  </si>
  <si>
    <t>Baking soda</t>
  </si>
  <si>
    <t>butter -melted</t>
  </si>
  <si>
    <t>water</t>
  </si>
  <si>
    <t>c</t>
  </si>
  <si>
    <t>t</t>
  </si>
  <si>
    <t>T</t>
  </si>
  <si>
    <t xml:space="preserve">Golden cane syrup  </t>
  </si>
  <si>
    <t xml:space="preserve"> can sub Light corn if cane ot available.</t>
  </si>
  <si>
    <t>Preheat oven to 325. Combine first 5 ingredients in a bowl; stir well. Add margarine, water, and syrup; stir well. Drop by level tablespoons, 2 inches apart, onto baking sheets coated with cooking spray. Bake at 325° for 12 minutes or until almost set. Remove from oven; let stand 2 to 3 minutes or until firm.  Place on cooling raack.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</si>
</sst>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19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96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</v>
      </c>
      <c r="K12" s="15"/>
      <c r="L12" s="33" t="s">
        <v>44</v>
      </c>
      <c r="M12" s="16"/>
      <c r="N12" s="29">
        <f t="shared" ref="N12:N31" si="0">IF(C12=0," ",(J12/$J$33)*50)</f>
        <v>2.083333333333333</v>
      </c>
      <c r="O12" s="30">
        <f t="shared" ref="O12:O31" si="1">IF(C12=0," ",(J12/$J$33)*75)</f>
        <v>3.125</v>
      </c>
      <c r="P12" s="30"/>
      <c r="Q12" s="82">
        <f t="shared" ref="Q12:Q31" si="2">IF(C12=0," ",(J12/$J$33)*$Q$9)</f>
        <v>4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44</v>
      </c>
      <c r="M13" s="65"/>
      <c r="N13" s="66">
        <f t="shared" si="0"/>
        <v>2.083333333333333</v>
      </c>
      <c r="O13" s="67">
        <f t="shared" si="1"/>
        <v>3.125</v>
      </c>
      <c r="P13" s="67"/>
      <c r="Q13" s="78">
        <f>IF(C13=0," ",(J13/$J$33)*$Q$9)</f>
        <v>4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44</v>
      </c>
      <c r="M14" s="16"/>
      <c r="N14" s="29">
        <f t="shared" si="0"/>
        <v>2.083333333333333</v>
      </c>
      <c r="O14" s="30">
        <f t="shared" si="1"/>
        <v>3.125</v>
      </c>
      <c r="P14" s="30"/>
      <c r="Q14" s="82">
        <f>IF(C14=0," ",(J14/$J$33)*$Q$9)</f>
        <v>4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0.5</v>
      </c>
      <c r="K15" s="64"/>
      <c r="L15" s="70" t="s">
        <v>44</v>
      </c>
      <c r="M15" s="71"/>
      <c r="N15" s="66">
        <f t="shared" si="0"/>
        <v>1.0416666666666665</v>
      </c>
      <c r="O15" s="67">
        <f t="shared" si="1"/>
        <v>1.5625</v>
      </c>
      <c r="P15" s="67"/>
      <c r="Q15" s="78">
        <f>IF(C15=0," ",(J15/$J$33)*$Q$9)</f>
        <v>2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0.5</v>
      </c>
      <c r="K16" s="15"/>
      <c r="L16" s="34" t="s">
        <v>45</v>
      </c>
      <c r="M16" s="16"/>
      <c r="N16" s="29">
        <f t="shared" si="0"/>
        <v>1.0416666666666665</v>
      </c>
      <c r="O16" s="30">
        <f t="shared" si="1"/>
        <v>1.5625</v>
      </c>
      <c r="P16" s="30"/>
      <c r="Q16" s="82">
        <f t="shared" si="2"/>
        <v>2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0.25</v>
      </c>
      <c r="K17" s="64"/>
      <c r="L17" s="70" t="s">
        <v>44</v>
      </c>
      <c r="M17" s="65"/>
      <c r="N17" s="66">
        <f t="shared" si="0"/>
        <v>0.52083333333333326</v>
      </c>
      <c r="O17" s="67">
        <f t="shared" si="1"/>
        <v>0.78125</v>
      </c>
      <c r="P17" s="67"/>
      <c r="Q17" s="78">
        <f>IF(C17=0," ",(J17/$J$33)*$Q$9)</f>
        <v>1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3</v>
      </c>
      <c r="K18" s="15"/>
      <c r="L18" s="34" t="s">
        <v>46</v>
      </c>
      <c r="M18" s="16"/>
      <c r="N18" s="29">
        <f t="shared" si="0"/>
        <v>6.25</v>
      </c>
      <c r="O18" s="30">
        <f t="shared" si="1"/>
        <v>9.375</v>
      </c>
      <c r="P18" s="30"/>
      <c r="Q18" s="82">
        <f t="shared" si="2"/>
        <v>12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47</v>
      </c>
      <c r="D19" s="109"/>
      <c r="E19" s="109"/>
      <c r="F19" s="109"/>
      <c r="G19" s="109"/>
      <c r="H19" s="109"/>
      <c r="I19" s="110"/>
      <c r="J19" s="63">
        <v>2</v>
      </c>
      <c r="K19" s="64"/>
      <c r="L19" s="70" t="s">
        <v>46</v>
      </c>
      <c r="M19" s="65"/>
      <c r="N19" s="66">
        <f t="shared" si="0"/>
        <v>4.1666666666666661</v>
      </c>
      <c r="O19" s="67">
        <f t="shared" si="1"/>
        <v>6.25</v>
      </c>
      <c r="P19" s="67"/>
      <c r="Q19" s="78">
        <f t="shared" ref="Q19" si="3">IF(C19=0," ",(J19/$J$33)*$Q$9)</f>
        <v>8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 t="s">
        <v>48</v>
      </c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>
        <f t="shared" si="0"/>
        <v>0</v>
      </c>
      <c r="O20" s="30">
        <f t="shared" si="1"/>
        <v>0</v>
      </c>
      <c r="P20" s="30"/>
      <c r="Q20" s="82">
        <f>IF(C20=0," ",(J20/$J$33)*$Q$9)</f>
        <v>0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24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49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2011-07-19T13:30:40Z</dcterms:modified>
</cp:coreProperties>
</file>