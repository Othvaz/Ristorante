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W:\Public\Recipes\English Recipes\"/>
    </mc:Choice>
  </mc:AlternateContent>
  <bookViews>
    <workbookView xWindow="0" yWindow="0" windowWidth="10560" windowHeight="7515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62913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 shape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 shapeId="0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 shape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 shapeId="0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 shape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 shape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 shapeId="0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 shapeId="0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 shapeId="0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 shapeId="0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 shapeId="0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 shapeId="0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<sst xmlns="http://schemas.openxmlformats.org/spreadsheetml/2006/main" count="55" uniqueCount="49">
  <si>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</si>
  <si>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</si>
  <si>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</si>
  <si>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</si>
  <si>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</si>
  <si>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</si>
  <si>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</si>
  <si>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</si>
  <si>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</si>
  <si>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</si>
  <si>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</si>
  <si>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</si>
  <si>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</si>
  <si>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</si>
  <si>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</si>
  <si>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</si>
  <si>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</si>
  <si>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</si>
  <si>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</si>
  <si>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</si>
  <si>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</si>
  <si>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</si>
  <si>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</si>
  <si>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</si>
  <si>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</si>
  <si>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</si>
  <si>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</si>
  <si>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</si>
  <si>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</si>
  <si>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</si>
  <si>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</si>
  <si>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</si>
  <si>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</si>
  <si>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</si>
  <si>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</si>
  <si>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</si>
  <si>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Broccoli Bacon Salad</t>
  </si>
  <si>
    <t>Broccoli Florets</t>
  </si>
  <si>
    <t>lbs</t>
  </si>
  <si>
    <t>Red Onion - diced</t>
  </si>
  <si>
    <t>ct</t>
  </si>
  <si>
    <t>Sunflower Seeds - toasted</t>
  </si>
  <si>
    <t>cup</t>
  </si>
  <si>
    <t>Bacon - crisp and crumbled</t>
  </si>
  <si>
    <t>Mayonnaise</t>
  </si>
  <si>
    <t>Sugar</t>
  </si>
  <si>
    <t>Vinegar</t>
  </si>
  <si>
    <t>Combine the florets, onion, bacon, raisins and sunflower seeds.  Mix together the mayo, sugar and vinegar.  Toss it in with the florets.  Let is sit about 2 hours before serving.</t>
  </si>
  <si>
    <t>Raisins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</si>
</sst>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SheetLayoutView="110" workbookViewId="0">
      <selection activeCell="T19" sqref="T19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55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3</v>
      </c>
      <c r="K12" s="15"/>
      <c r="L12" s="33" t="s">
        <v>38</v>
      </c>
      <c r="M12" s="16"/>
      <c r="N12" s="29">
        <f t="shared" ref="N12:N31" si="0">IF(C12=0," ",(J12/$J$33)*50)</f>
        <v>7.5</v>
      </c>
      <c r="O12" s="30">
        <f t="shared" ref="O12:O31" si="1">IF(C12=0," ",(J12/$J$33)*75)</f>
        <v>11.25</v>
      </c>
      <c r="P12" s="30"/>
      <c r="Q12" s="82">
        <f t="shared" ref="Q12:Q31" si="2">IF(C12=0," ",(J12/$J$33)*$Q$9)</f>
        <v>8.25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39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40</v>
      </c>
      <c r="M13" s="65"/>
      <c r="N13" s="66">
        <f t="shared" si="0"/>
        <v>2.5</v>
      </c>
      <c r="O13" s="67">
        <f t="shared" si="1"/>
        <v>3.75</v>
      </c>
      <c r="P13" s="67"/>
      <c r="Q13" s="78">
        <f>IF(C13=0," ",(J13/$J$33)*$Q$9)</f>
        <v>2.75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43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38</v>
      </c>
      <c r="M14" s="16"/>
      <c r="N14" s="29">
        <f t="shared" si="0"/>
        <v>2.5</v>
      </c>
      <c r="O14" s="30">
        <f t="shared" si="1"/>
        <v>3.75</v>
      </c>
      <c r="P14" s="30"/>
      <c r="Q14" s="82">
        <f>IF(C14=0," ",(J14/$J$33)*$Q$9)</f>
        <v>2.75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41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42</v>
      </c>
      <c r="M15" s="71"/>
      <c r="N15" s="66">
        <f t="shared" si="0"/>
        <v>2.5</v>
      </c>
      <c r="O15" s="67">
        <f t="shared" si="1"/>
        <v>3.75</v>
      </c>
      <c r="P15" s="67"/>
      <c r="Q15" s="78">
        <f>IF(C15=0," ",(J15/$J$33)*$Q$9)</f>
        <v>2.75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48</v>
      </c>
      <c r="D16" s="80"/>
      <c r="E16" s="80"/>
      <c r="F16" s="80"/>
      <c r="G16" s="80"/>
      <c r="H16" s="80"/>
      <c r="I16" s="81"/>
      <c r="J16" s="56">
        <v>1</v>
      </c>
      <c r="K16" s="15"/>
      <c r="L16" s="34" t="s">
        <v>42</v>
      </c>
      <c r="M16" s="16"/>
      <c r="N16" s="29">
        <f t="shared" si="0"/>
        <v>2.5</v>
      </c>
      <c r="O16" s="30">
        <f t="shared" si="1"/>
        <v>3.75</v>
      </c>
      <c r="P16" s="30"/>
      <c r="Q16" s="82">
        <f t="shared" si="2"/>
        <v>2.75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44</v>
      </c>
      <c r="D17" s="109"/>
      <c r="E17" s="109"/>
      <c r="F17" s="109"/>
      <c r="G17" s="109"/>
      <c r="H17" s="109"/>
      <c r="I17" s="110"/>
      <c r="J17" s="63">
        <v>2</v>
      </c>
      <c r="K17" s="64"/>
      <c r="L17" s="70" t="s">
        <v>42</v>
      </c>
      <c r="M17" s="65"/>
      <c r="N17" s="66">
        <f t="shared" si="0"/>
        <v>5</v>
      </c>
      <c r="O17" s="67">
        <f t="shared" si="1"/>
        <v>7.5</v>
      </c>
      <c r="P17" s="67"/>
      <c r="Q17" s="78">
        <f>IF(C17=0," ",(J17/$J$33)*$Q$9)</f>
        <v>5.5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45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42</v>
      </c>
      <c r="M18" s="16"/>
      <c r="N18" s="29">
        <f t="shared" si="0"/>
        <v>2.5</v>
      </c>
      <c r="O18" s="30">
        <f t="shared" si="1"/>
        <v>3.75</v>
      </c>
      <c r="P18" s="30"/>
      <c r="Q18" s="82">
        <f t="shared" si="2"/>
        <v>2.75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46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42</v>
      </c>
      <c r="M19" s="65"/>
      <c r="N19" s="66">
        <f t="shared" si="0"/>
        <v>2.5</v>
      </c>
      <c r="O19" s="67">
        <f t="shared" si="1"/>
        <v>3.75</v>
      </c>
      <c r="P19" s="67"/>
      <c r="Q19" s="78">
        <f t="shared" ref="Q19" si="3">IF(C19=0," ",(J19/$J$33)*$Q$9)</f>
        <v>2.75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20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47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Daniel Eastman</cp:lastModifiedBy>
  <cp:lastPrinted>2022-02-28T21:32:44Z</cp:lastPrinted>
  <dcterms:created xsi:type="dcterms:W3CDTF">2000-10-24T15:57:25Z</dcterms:created>
  <dcterms:modified xsi:type="dcterms:W3CDTF">2022-02-28T21:32:59Z</dcterms:modified>
</cp:coreProperties>
</file>