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<sst xmlns="http://schemas.openxmlformats.org/spreadsheetml/2006/main" count="78" uniqueCount="62">
  <si>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</si>
  <si>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</si>
  <si>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</si>
  <si>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</si>
  <si>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</si>
  <si>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</si>
  <si>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</si>
  <si>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</si>
  <si>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</si>
  <si>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</si>
  <si>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</si>
  <si>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</si>
  <si>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</si>
  <si>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</si>
  <si>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</si>
  <si>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</si>
  <si>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</si>
  <si>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</si>
  <si>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</si>
  <si>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</si>
  <si>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</si>
  <si>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</si>
  <si>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</si>
  <si>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</si>
  <si>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</si>
  <si>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</si>
  <si>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</si>
  <si>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</si>
  <si>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</si>
  <si>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</si>
  <si>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</si>
  <si>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</si>
  <si>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</si>
  <si>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</si>
  <si>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</si>
  <si>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</si>
  <si>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Shallots -chopped</t>
  </si>
  <si>
    <t>Ginger root -grated</t>
  </si>
  <si>
    <t>ct</t>
  </si>
  <si>
    <t>T</t>
  </si>
  <si>
    <t>Garlic -minced</t>
  </si>
  <si>
    <t>Red Pepper Flake</t>
  </si>
  <si>
    <t>Ground Corriander</t>
  </si>
  <si>
    <t>t</t>
  </si>
  <si>
    <t>Ground Cumin</t>
  </si>
  <si>
    <t>Ground Tumeric</t>
  </si>
  <si>
    <t>Bay Leaves</t>
  </si>
  <si>
    <t>Veggie Stock</t>
  </si>
  <si>
    <t>Carrot</t>
  </si>
  <si>
    <t>Potato</t>
  </si>
  <si>
    <t>Sweet Potato</t>
  </si>
  <si>
    <t>c</t>
  </si>
  <si>
    <t>Chick peas</t>
  </si>
  <si>
    <t>Soy Sauce</t>
  </si>
  <si>
    <t>Lime Juice</t>
  </si>
  <si>
    <t>Brown Sugar</t>
  </si>
  <si>
    <t>Cumin</t>
  </si>
  <si>
    <t>Basil</t>
  </si>
  <si>
    <t xml:space="preserve">1. Heat a wok, large frying pan or pot over medium-high heat. Drizzle with  oil, then add the shallots, ginger, garlic, and chili. Stir-fry 1-2 minutes. While stir-frying, add the dry spices: coriander, ground cumin, turmeric, white pepper, and bay leaves.
2. Add stock plus the chickpeas, carrot, squash, potato, and sweet potato, stirring well. Add coconut milk and bring to a gentle boil.
3. Reduce heat to medium-low and simmer 10 to 12 minutes (for a thicker curry, do not cover). While simmering, add the soy sauce, lime juice, brown sugar, and ketchup. Finally, add the whole cumin. Continue simmering until vegetables are cooked to your liking.
4. Taste-test the curry, adding more soy sauce if you prefer it saltier/more flavorful. If too salty or sweet for your liking, add more lime juice. Add more sugar if you find it too sour. More chili can be added for more spice.
</t>
  </si>
  <si>
    <t>Ketchup</t>
  </si>
  <si>
    <t>Coconut Milk 14 ounce can</t>
  </si>
  <si>
    <t>can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</si>
</sst>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1" zoomScaleNormal="100" zoomScaleSheetLayoutView="110" workbookViewId="0">
      <selection activeCell="T27" sqref="T27"/>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110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36</v>
      </c>
      <c r="D12" s="111"/>
      <c r="E12" s="111"/>
      <c r="F12" s="111"/>
      <c r="G12" s="111"/>
      <c r="H12" s="111"/>
      <c r="I12" s="112"/>
      <c r="J12" s="56">
        <v>1</v>
      </c>
      <c r="K12" s="15"/>
      <c r="L12" s="33" t="s">
        <v>38</v>
      </c>
      <c r="M12" s="16"/>
      <c r="N12" s="29">
        <f t="shared" ref="N12:N31" si="0">IF(C12=0," ",(J12/$J$33)*50)</f>
        <v>10</v>
      </c>
      <c r="O12" s="30">
        <f t="shared" ref="O12:O31" si="1">IF(C12=0," ",(J12/$J$33)*75)</f>
        <v>15</v>
      </c>
      <c r="P12" s="30"/>
      <c r="Q12" s="82">
        <f t="shared" ref="Q12:Q31" si="2">IF(C12=0," ",(J12/$J$33)*$Q$9)</f>
        <v>22</v>
      </c>
      <c r="R12" s="82"/>
      <c r="S12" s="83"/>
      <c r="U12" s="9"/>
      <c r="V12" s="9"/>
    </row>
    <row r="13" spans="1:29" ht="12.75" customHeight="1" x14ac:dyDescent="0.2">
      <c r="A13" s="68" t="s">
        <v>1</v>
      </c>
      <c r="B13" s="69"/>
      <c r="C13" s="109" t="s">
        <v>37</v>
      </c>
      <c r="D13" s="109"/>
      <c r="E13" s="109"/>
      <c r="F13" s="109"/>
      <c r="G13" s="109"/>
      <c r="H13" s="109"/>
      <c r="I13" s="110"/>
      <c r="J13" s="63">
        <v>0.5</v>
      </c>
      <c r="K13" s="64"/>
      <c r="L13" s="70" t="s">
        <v>39</v>
      </c>
      <c r="M13" s="65"/>
      <c r="N13" s="66">
        <f t="shared" si="0"/>
        <v>5</v>
      </c>
      <c r="O13" s="67">
        <f t="shared" si="1"/>
        <v>7.5</v>
      </c>
      <c r="P13" s="67"/>
      <c r="Q13" s="78">
        <f>IF(C13=0," ",(J13/$J$33)*$Q$9)</f>
        <v>11</v>
      </c>
      <c r="R13" s="78"/>
      <c r="S13" s="79"/>
      <c r="U13" s="9"/>
      <c r="V13" s="9"/>
    </row>
    <row r="14" spans="1:29" ht="12.75" customHeight="1" x14ac:dyDescent="0.2">
      <c r="A14" s="50" t="s">
        <v>2</v>
      </c>
      <c r="B14" s="51"/>
      <c r="C14" s="80" t="s">
        <v>40</v>
      </c>
      <c r="D14" s="80"/>
      <c r="E14" s="80"/>
      <c r="F14" s="80"/>
      <c r="G14" s="80"/>
      <c r="H14" s="80"/>
      <c r="I14" s="81"/>
      <c r="J14" s="56">
        <v>2</v>
      </c>
      <c r="K14" s="15"/>
      <c r="L14" s="34" t="s">
        <v>38</v>
      </c>
      <c r="M14" s="16"/>
      <c r="N14" s="29">
        <f t="shared" si="0"/>
        <v>20</v>
      </c>
      <c r="O14" s="30">
        <f t="shared" si="1"/>
        <v>30</v>
      </c>
      <c r="P14" s="30"/>
      <c r="Q14" s="82">
        <f>IF(C14=0," ",(J14/$J$33)*$Q$9)</f>
        <v>44</v>
      </c>
      <c r="R14" s="82"/>
      <c r="S14" s="83"/>
      <c r="U14" s="9"/>
      <c r="V14" s="9"/>
    </row>
    <row r="15" spans="1:29" ht="12.75" customHeight="1" x14ac:dyDescent="0.2">
      <c r="A15" s="68" t="s">
        <v>3</v>
      </c>
      <c r="B15" s="69"/>
      <c r="C15" s="109" t="s">
        <v>41</v>
      </c>
      <c r="D15" s="109"/>
      <c r="E15" s="109"/>
      <c r="F15" s="109"/>
      <c r="G15" s="109"/>
      <c r="H15" s="109"/>
      <c r="I15" s="110"/>
      <c r="J15" s="63">
        <v>0.5</v>
      </c>
      <c r="K15" s="64"/>
      <c r="L15" s="70" t="s">
        <v>43</v>
      </c>
      <c r="M15" s="71"/>
      <c r="N15" s="66">
        <f t="shared" si="0"/>
        <v>5</v>
      </c>
      <c r="O15" s="67">
        <f t="shared" si="1"/>
        <v>7.5</v>
      </c>
      <c r="P15" s="67"/>
      <c r="Q15" s="78">
        <f>IF(C15=0," ",(J15/$J$33)*$Q$9)</f>
        <v>11</v>
      </c>
      <c r="R15" s="78"/>
      <c r="S15" s="79"/>
      <c r="U15" s="9"/>
      <c r="V15" s="9"/>
    </row>
    <row r="16" spans="1:29" ht="12.75" customHeight="1" x14ac:dyDescent="0.2">
      <c r="A16" s="50" t="s">
        <v>4</v>
      </c>
      <c r="B16" s="51"/>
      <c r="C16" s="80" t="s">
        <v>42</v>
      </c>
      <c r="D16" s="80"/>
      <c r="E16" s="80"/>
      <c r="F16" s="80"/>
      <c r="G16" s="80"/>
      <c r="H16" s="80"/>
      <c r="I16" s="81"/>
      <c r="J16" s="56">
        <v>1</v>
      </c>
      <c r="K16" s="15"/>
      <c r="L16" s="34" t="s">
        <v>43</v>
      </c>
      <c r="M16" s="16"/>
      <c r="N16" s="29">
        <f t="shared" si="0"/>
        <v>10</v>
      </c>
      <c r="O16" s="30">
        <f t="shared" si="1"/>
        <v>15</v>
      </c>
      <c r="P16" s="30"/>
      <c r="Q16" s="82">
        <f t="shared" si="2"/>
        <v>22</v>
      </c>
      <c r="R16" s="82"/>
      <c r="S16" s="83"/>
      <c r="U16" s="9"/>
      <c r="V16" s="9"/>
    </row>
    <row r="17" spans="1:23" ht="12.75" customHeight="1" x14ac:dyDescent="0.2">
      <c r="A17" s="68" t="s">
        <v>5</v>
      </c>
      <c r="B17" s="69"/>
      <c r="C17" s="109" t="s">
        <v>44</v>
      </c>
      <c r="D17" s="109"/>
      <c r="E17" s="109"/>
      <c r="F17" s="109"/>
      <c r="G17" s="109"/>
      <c r="H17" s="109"/>
      <c r="I17" s="110"/>
      <c r="J17" s="63">
        <v>2</v>
      </c>
      <c r="K17" s="64"/>
      <c r="L17" s="70" t="s">
        <v>43</v>
      </c>
      <c r="M17" s="65"/>
      <c r="N17" s="66">
        <f t="shared" si="0"/>
        <v>20</v>
      </c>
      <c r="O17" s="67">
        <f t="shared" si="1"/>
        <v>30</v>
      </c>
      <c r="P17" s="67"/>
      <c r="Q17" s="78">
        <f>IF(C17=0," ",(J17/$J$33)*$Q$9)</f>
        <v>44</v>
      </c>
      <c r="R17" s="78"/>
      <c r="S17" s="79"/>
      <c r="U17" s="9"/>
      <c r="V17" s="9"/>
    </row>
    <row r="18" spans="1:23" ht="12.75" customHeight="1" x14ac:dyDescent="0.2">
      <c r="A18" s="50" t="s">
        <v>6</v>
      </c>
      <c r="B18" s="51"/>
      <c r="C18" s="80" t="s">
        <v>45</v>
      </c>
      <c r="D18" s="80"/>
      <c r="E18" s="80"/>
      <c r="F18" s="80"/>
      <c r="G18" s="80"/>
      <c r="H18" s="80"/>
      <c r="I18" s="81"/>
      <c r="J18" s="56">
        <v>0.75</v>
      </c>
      <c r="K18" s="15"/>
      <c r="L18" s="34" t="s">
        <v>43</v>
      </c>
      <c r="M18" s="16"/>
      <c r="N18" s="29">
        <f t="shared" si="0"/>
        <v>7.5</v>
      </c>
      <c r="O18" s="30">
        <f t="shared" si="1"/>
        <v>11.25</v>
      </c>
      <c r="P18" s="30"/>
      <c r="Q18" s="82">
        <f t="shared" si="2"/>
        <v>16.5</v>
      </c>
      <c r="R18" s="82"/>
      <c r="S18" s="83"/>
      <c r="U18" s="9"/>
      <c r="V18" s="9"/>
    </row>
    <row r="19" spans="1:23" ht="12.75" customHeight="1" x14ac:dyDescent="0.2">
      <c r="A19" s="68" t="s">
        <v>7</v>
      </c>
      <c r="B19" s="69"/>
      <c r="C19" s="109" t="s">
        <v>59</v>
      </c>
      <c r="D19" s="109"/>
      <c r="E19" s="109"/>
      <c r="F19" s="109"/>
      <c r="G19" s="109"/>
      <c r="H19" s="109"/>
      <c r="I19" s="110"/>
      <c r="J19" s="63">
        <v>2</v>
      </c>
      <c r="K19" s="64"/>
      <c r="L19" s="70" t="s">
        <v>39</v>
      </c>
      <c r="M19" s="65"/>
      <c r="N19" s="66">
        <f t="shared" si="0"/>
        <v>20</v>
      </c>
      <c r="O19" s="67">
        <f t="shared" si="1"/>
        <v>30</v>
      </c>
      <c r="P19" s="67"/>
      <c r="Q19" s="78">
        <f t="shared" ref="Q19" si="3">IF(C19=0," ",(J19/$J$33)*$Q$9)</f>
        <v>44</v>
      </c>
      <c r="R19" s="78"/>
      <c r="S19" s="79"/>
      <c r="U19" s="9"/>
      <c r="V19" s="9"/>
    </row>
    <row r="20" spans="1:23" ht="12.75" customHeight="1" x14ac:dyDescent="0.2">
      <c r="A20" s="50" t="s">
        <v>8</v>
      </c>
      <c r="B20" s="51"/>
      <c r="C20" s="80" t="s">
        <v>46</v>
      </c>
      <c r="D20" s="80"/>
      <c r="E20" s="80"/>
      <c r="F20" s="80"/>
      <c r="G20" s="80"/>
      <c r="H20" s="80"/>
      <c r="I20" s="81"/>
      <c r="J20" s="56">
        <v>2</v>
      </c>
      <c r="K20" s="15"/>
      <c r="L20" s="34" t="s">
        <v>38</v>
      </c>
      <c r="M20" s="16"/>
      <c r="N20" s="29">
        <f t="shared" si="0"/>
        <v>20</v>
      </c>
      <c r="O20" s="30">
        <f t="shared" si="1"/>
        <v>30</v>
      </c>
      <c r="P20" s="30"/>
      <c r="Q20" s="82">
        <f>IF(C20=0," ",(J20/$J$33)*$Q$9)</f>
        <v>44</v>
      </c>
      <c r="R20" s="82"/>
      <c r="S20" s="83"/>
      <c r="U20" s="9"/>
      <c r="V20" s="9"/>
    </row>
    <row r="21" spans="1:23" ht="12.75" customHeight="1" x14ac:dyDescent="0.2">
      <c r="A21" s="68" t="s">
        <v>9</v>
      </c>
      <c r="B21" s="69"/>
      <c r="C21" s="109" t="s">
        <v>47</v>
      </c>
      <c r="D21" s="109"/>
      <c r="E21" s="109"/>
      <c r="F21" s="109"/>
      <c r="G21" s="109"/>
      <c r="H21" s="109"/>
      <c r="I21" s="110"/>
      <c r="J21" s="63">
        <v>0.5</v>
      </c>
      <c r="K21" s="64"/>
      <c r="L21" s="70" t="s">
        <v>51</v>
      </c>
      <c r="M21" s="65"/>
      <c r="N21" s="66">
        <f t="shared" si="0"/>
        <v>5</v>
      </c>
      <c r="O21" s="67">
        <f t="shared" si="1"/>
        <v>7.5</v>
      </c>
      <c r="P21" s="67"/>
      <c r="Q21" s="78">
        <f t="shared" si="2"/>
        <v>11</v>
      </c>
      <c r="R21" s="78"/>
      <c r="S21" s="79"/>
      <c r="U21" s="9"/>
      <c r="V21" s="9"/>
    </row>
    <row r="22" spans="1:23" ht="12.75" customHeight="1" x14ac:dyDescent="0.2">
      <c r="A22" s="50" t="s">
        <v>17</v>
      </c>
      <c r="B22" s="51"/>
      <c r="C22" s="80" t="s">
        <v>48</v>
      </c>
      <c r="D22" s="80"/>
      <c r="E22" s="80"/>
      <c r="F22" s="80"/>
      <c r="G22" s="80"/>
      <c r="H22" s="80"/>
      <c r="I22" s="81"/>
      <c r="J22" s="56">
        <v>1</v>
      </c>
      <c r="K22" s="15"/>
      <c r="L22" s="34" t="s">
        <v>38</v>
      </c>
      <c r="M22" s="16"/>
      <c r="N22" s="29">
        <f t="shared" si="0"/>
        <v>10</v>
      </c>
      <c r="O22" s="30">
        <f t="shared" si="1"/>
        <v>15</v>
      </c>
      <c r="P22" s="30"/>
      <c r="Q22" s="82">
        <f t="shared" si="2"/>
        <v>22</v>
      </c>
      <c r="R22" s="82"/>
      <c r="S22" s="83"/>
      <c r="U22" s="9"/>
      <c r="V22" s="9"/>
      <c r="W22" s="9"/>
    </row>
    <row r="23" spans="1:23" ht="12.75" customHeight="1" x14ac:dyDescent="0.2">
      <c r="A23" s="68" t="s">
        <v>18</v>
      </c>
      <c r="B23" s="69"/>
      <c r="C23" s="109" t="s">
        <v>49</v>
      </c>
      <c r="D23" s="109"/>
      <c r="E23" s="109"/>
      <c r="F23" s="109"/>
      <c r="G23" s="109"/>
      <c r="H23" s="109"/>
      <c r="I23" s="110"/>
      <c r="J23" s="63">
        <v>1</v>
      </c>
      <c r="K23" s="64"/>
      <c r="L23" s="70" t="s">
        <v>38</v>
      </c>
      <c r="M23" s="65"/>
      <c r="N23" s="66">
        <f t="shared" si="0"/>
        <v>10</v>
      </c>
      <c r="O23" s="67">
        <f t="shared" si="1"/>
        <v>15</v>
      </c>
      <c r="P23" s="67"/>
      <c r="Q23" s="78">
        <f>IF(C23=0," ",(J23/$J$33)*$Q$9)</f>
        <v>22</v>
      </c>
      <c r="R23" s="78"/>
      <c r="S23" s="79"/>
      <c r="U23" s="9"/>
      <c r="V23" s="9"/>
    </row>
    <row r="24" spans="1:23" ht="12.75" customHeight="1" x14ac:dyDescent="0.2">
      <c r="A24" s="50" t="s">
        <v>19</v>
      </c>
      <c r="B24" s="51"/>
      <c r="C24" s="80" t="s">
        <v>50</v>
      </c>
      <c r="D24" s="80"/>
      <c r="E24" s="80"/>
      <c r="F24" s="80"/>
      <c r="G24" s="80"/>
      <c r="H24" s="80"/>
      <c r="I24" s="81"/>
      <c r="J24" s="56">
        <v>1</v>
      </c>
      <c r="K24" s="15"/>
      <c r="L24" s="34" t="s">
        <v>38</v>
      </c>
      <c r="M24" s="16"/>
      <c r="N24" s="29">
        <f t="shared" si="0"/>
        <v>10</v>
      </c>
      <c r="O24" s="30">
        <f t="shared" si="1"/>
        <v>15</v>
      </c>
      <c r="P24" s="30"/>
      <c r="Q24" s="82">
        <f t="shared" si="2"/>
        <v>22</v>
      </c>
      <c r="R24" s="82"/>
      <c r="S24" s="83"/>
      <c r="U24" s="9"/>
      <c r="V24" s="9"/>
    </row>
    <row r="25" spans="1:23" ht="12.75" customHeight="1" x14ac:dyDescent="0.2">
      <c r="A25" s="68" t="s">
        <v>20</v>
      </c>
      <c r="B25" s="69"/>
      <c r="C25" s="109" t="s">
        <v>60</v>
      </c>
      <c r="D25" s="109"/>
      <c r="E25" s="109"/>
      <c r="F25" s="109"/>
      <c r="G25" s="109"/>
      <c r="H25" s="109"/>
      <c r="I25" s="110"/>
      <c r="J25" s="63">
        <v>1</v>
      </c>
      <c r="K25" s="64"/>
      <c r="L25" s="70" t="s">
        <v>61</v>
      </c>
      <c r="M25" s="65"/>
      <c r="N25" s="66">
        <f t="shared" si="0"/>
        <v>10</v>
      </c>
      <c r="O25" s="67">
        <f t="shared" si="1"/>
        <v>15</v>
      </c>
      <c r="P25" s="67"/>
      <c r="Q25" s="78">
        <f t="shared" si="2"/>
        <v>22</v>
      </c>
      <c r="R25" s="78"/>
      <c r="S25" s="79"/>
      <c r="U25" s="9"/>
      <c r="V25" s="9"/>
    </row>
    <row r="26" spans="1:23" ht="12.75" customHeight="1" x14ac:dyDescent="0.2">
      <c r="A26" s="50" t="s">
        <v>21</v>
      </c>
      <c r="B26" s="51"/>
      <c r="C26" s="80" t="s">
        <v>52</v>
      </c>
      <c r="D26" s="80"/>
      <c r="E26" s="80"/>
      <c r="F26" s="80"/>
      <c r="G26" s="80"/>
      <c r="H26" s="80"/>
      <c r="I26" s="81"/>
      <c r="J26" s="56">
        <v>1</v>
      </c>
      <c r="K26" s="15"/>
      <c r="L26" s="34" t="s">
        <v>51</v>
      </c>
      <c r="M26" s="16"/>
      <c r="N26" s="29">
        <f t="shared" si="0"/>
        <v>10</v>
      </c>
      <c r="O26" s="30">
        <f t="shared" si="1"/>
        <v>15</v>
      </c>
      <c r="P26" s="30"/>
      <c r="Q26" s="82">
        <f t="shared" si="2"/>
        <v>22</v>
      </c>
      <c r="R26" s="82"/>
      <c r="S26" s="83"/>
    </row>
    <row r="27" spans="1:23" ht="12.75" customHeight="1" x14ac:dyDescent="0.2">
      <c r="A27" s="68" t="s">
        <v>22</v>
      </c>
      <c r="B27" s="69"/>
      <c r="C27" s="109" t="s">
        <v>53</v>
      </c>
      <c r="D27" s="109"/>
      <c r="E27" s="109"/>
      <c r="F27" s="109"/>
      <c r="G27" s="109"/>
      <c r="H27" s="109"/>
      <c r="I27" s="110"/>
      <c r="J27" s="63">
        <v>3</v>
      </c>
      <c r="K27" s="64"/>
      <c r="L27" s="70" t="s">
        <v>39</v>
      </c>
      <c r="M27" s="65"/>
      <c r="N27" s="66">
        <f t="shared" si="0"/>
        <v>30</v>
      </c>
      <c r="O27" s="67">
        <f t="shared" si="1"/>
        <v>45</v>
      </c>
      <c r="P27" s="67"/>
      <c r="Q27" s="78">
        <f t="shared" si="2"/>
        <v>66</v>
      </c>
      <c r="R27" s="78"/>
      <c r="S27" s="79"/>
    </row>
    <row r="28" spans="1:23" ht="12.75" customHeight="1" x14ac:dyDescent="0.2">
      <c r="A28" s="50" t="s">
        <v>23</v>
      </c>
      <c r="B28" s="51"/>
      <c r="C28" s="80" t="s">
        <v>54</v>
      </c>
      <c r="D28" s="80"/>
      <c r="E28" s="80"/>
      <c r="F28" s="80"/>
      <c r="G28" s="80"/>
      <c r="H28" s="80"/>
      <c r="I28" s="81"/>
      <c r="J28" s="56">
        <v>3</v>
      </c>
      <c r="K28" s="15"/>
      <c r="L28" s="34" t="s">
        <v>39</v>
      </c>
      <c r="M28" s="16"/>
      <c r="N28" s="29">
        <f t="shared" si="0"/>
        <v>30</v>
      </c>
      <c r="O28" s="30">
        <f t="shared" si="1"/>
        <v>45</v>
      </c>
      <c r="P28" s="30"/>
      <c r="Q28" s="82">
        <f t="shared" si="2"/>
        <v>66</v>
      </c>
      <c r="R28" s="82"/>
      <c r="S28" s="83"/>
    </row>
    <row r="29" spans="1:23" ht="12.75" customHeight="1" x14ac:dyDescent="0.2">
      <c r="A29" s="68" t="s">
        <v>24</v>
      </c>
      <c r="B29" s="69"/>
      <c r="C29" s="109" t="s">
        <v>55</v>
      </c>
      <c r="D29" s="109"/>
      <c r="E29" s="109"/>
      <c r="F29" s="109"/>
      <c r="G29" s="109"/>
      <c r="H29" s="109"/>
      <c r="I29" s="110"/>
      <c r="J29" s="63">
        <v>2</v>
      </c>
      <c r="K29" s="64"/>
      <c r="L29" s="70" t="s">
        <v>39</v>
      </c>
      <c r="M29" s="65"/>
      <c r="N29" s="66">
        <f t="shared" si="0"/>
        <v>20</v>
      </c>
      <c r="O29" s="67">
        <f t="shared" si="1"/>
        <v>30</v>
      </c>
      <c r="P29" s="67"/>
      <c r="Q29" s="78">
        <f t="shared" si="2"/>
        <v>44</v>
      </c>
      <c r="R29" s="78"/>
      <c r="S29" s="79"/>
    </row>
    <row r="30" spans="1:23" ht="12.75" customHeight="1" x14ac:dyDescent="0.2">
      <c r="A30" s="50" t="s">
        <v>25</v>
      </c>
      <c r="B30" s="51"/>
      <c r="C30" s="80" t="s">
        <v>56</v>
      </c>
      <c r="D30" s="80"/>
      <c r="E30" s="80"/>
      <c r="F30" s="80"/>
      <c r="G30" s="80"/>
      <c r="H30" s="80"/>
      <c r="I30" s="81"/>
      <c r="J30" s="56">
        <v>0.5</v>
      </c>
      <c r="K30" s="15"/>
      <c r="L30" s="34" t="s">
        <v>43</v>
      </c>
      <c r="M30" s="17"/>
      <c r="N30" s="29">
        <f t="shared" si="0"/>
        <v>5</v>
      </c>
      <c r="O30" s="30">
        <f t="shared" si="1"/>
        <v>7.5</v>
      </c>
      <c r="P30" s="30"/>
      <c r="Q30" s="82">
        <f t="shared" si="2"/>
        <v>11</v>
      </c>
      <c r="R30" s="82"/>
      <c r="S30" s="83"/>
    </row>
    <row r="31" spans="1:23" ht="12.75" customHeight="1" x14ac:dyDescent="0.2">
      <c r="A31" s="72" t="s">
        <v>26</v>
      </c>
      <c r="B31" s="73"/>
      <c r="C31" s="121" t="s">
        <v>57</v>
      </c>
      <c r="D31" s="121"/>
      <c r="E31" s="121"/>
      <c r="F31" s="121"/>
      <c r="G31" s="121"/>
      <c r="H31" s="121"/>
      <c r="I31" s="122"/>
      <c r="J31" s="63">
        <v>0.25</v>
      </c>
      <c r="K31" s="74"/>
      <c r="L31" s="70" t="s">
        <v>51</v>
      </c>
      <c r="M31" s="75"/>
      <c r="N31" s="76">
        <f t="shared" si="0"/>
        <v>2.5</v>
      </c>
      <c r="O31" s="77">
        <f t="shared" si="1"/>
        <v>3.75</v>
      </c>
      <c r="P31" s="77"/>
      <c r="Q31" s="119">
        <f t="shared" si="2"/>
        <v>5.5</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5</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58</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2012-08-07T23:50:35Z</dcterms:modified>
</cp:coreProperties>
</file>