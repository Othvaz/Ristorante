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J12" i="1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<sst xmlns="http://schemas.openxmlformats.org/spreadsheetml/2006/main" count="48" uniqueCount="40">
  <si>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</si>
  <si>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</si>
  <si>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</si>
  <si>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</si>
  <si>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</si>
  <si>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</si>
  <si>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</si>
  <si>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</si>
  <si>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</si>
  <si>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</si>
  <si>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</si>
  <si>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As it appears above, recipe yields how many units?</t>
  </si>
  <si>
    <t>4 units</t>
  </si>
  <si>
    <t>12 units</t>
  </si>
  <si>
    <t>units</t>
  </si>
  <si>
    <t>Warm Water</t>
  </si>
  <si>
    <t>Dry Active Yeast</t>
  </si>
  <si>
    <t>Evaporated Milk</t>
  </si>
  <si>
    <t>Sugar</t>
  </si>
  <si>
    <t>Flour</t>
  </si>
  <si>
    <t>Nutmeg</t>
  </si>
  <si>
    <t>Salt</t>
  </si>
  <si>
    <t>Butter</t>
  </si>
  <si>
    <t>T</t>
  </si>
  <si>
    <t>Eggs</t>
  </si>
  <si>
    <t>Lemon Extract</t>
  </si>
  <si>
    <t>Vanilla Extract</t>
  </si>
  <si>
    <t>ct</t>
  </si>
  <si>
    <t>t</t>
  </si>
  <si>
    <t>c</t>
  </si>
  <si>
    <t xml:space="preserve">Hawaiian Sweet Bread </t>
  </si>
  <si>
    <t>also make approx 12 rolls</t>
  </si>
  <si>
    <t>Mix 1/2 cup warm water(100-110 degrees), 2 packages of fleishmann’s dry active yeast and 2 tsp of sugar; let stand 10-15 minutes.</t>
  </si>
  <si>
    <t>Combine 1 cups of the sugar, nutmeg and salt; mix.</t>
  </si>
  <si>
    <t>Melt butter in a sauce pan, once melted combine 1/3 cup of evaporated milk with beaten eggs lemon and vanilla extract and nutmeg.</t>
  </si>
  <si>
    <t>Mix well.  Add to flou, Knead dough</t>
  </si>
  <si>
    <t xml:space="preserve">Let it rise for one hour, until double in size.  </t>
  </si>
  <si>
    <t xml:space="preserve"> Gently punch down and form into loaf or individual rolls</t>
  </si>
  <si>
    <t>Let rise for another hour.</t>
  </si>
  <si>
    <t>Bake at 300 for appx. 45 minutes, or until light golden crust forms and baked through. Every oven is a little bit different.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</si>
</sst>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3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5" xfId="0" applyNumberFormat="1" applyFont="1" applyBorder="1" applyAlignment="1" applyProtection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2" fontId="5" fillId="0" borderId="53" xfId="0" applyNumberFormat="1" applyFont="1" applyBorder="1" applyAlignment="1" applyProtection="1">
      <alignment horizontal="center" vertical="center"/>
    </xf>
    <xf numFmtId="2" fontId="5" fillId="0" borderId="54" xfId="0" applyNumberFormat="1" applyFont="1" applyBorder="1" applyAlignment="1" applyProtection="1">
      <alignment horizontal="center" vertical="center"/>
    </xf>
    <xf numFmtId="2" fontId="5" fillId="0" borderId="55" xfId="0" applyNumberFormat="1" applyFont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horizontal="left" shrinkToFit="1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6" xfId="0" applyFont="1" applyBorder="1" applyAlignment="1" applyProtection="1">
      <alignment horizontal="left" shrinkToFit="1"/>
      <protection locked="0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/>
      <protection locked="0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2" fontId="5" fillId="3" borderId="53" xfId="0" applyNumberFormat="1" applyFont="1" applyFill="1" applyBorder="1" applyAlignment="1" applyProtection="1">
      <alignment horizontal="center" vertical="center"/>
    </xf>
    <xf numFmtId="2" fontId="5" fillId="3" borderId="54" xfId="0" applyNumberFormat="1" applyFont="1" applyFill="1" applyBorder="1" applyAlignment="1" applyProtection="1">
      <alignment horizontal="center" vertical="center"/>
    </xf>
    <xf numFmtId="2" fontId="5" fillId="3" borderId="55" xfId="0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3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5" xfId="0" applyFont="1" applyFill="1" applyBorder="1" applyAlignment="1">
      <alignment horizontal="center"/>
    </xf>
    <xf numFmtId="0" fontId="5" fillId="0" borderId="51" xfId="0" applyFont="1" applyFill="1" applyBorder="1" applyAlignment="1" applyProtection="1">
      <alignment horizontal="center" vertical="center"/>
      <protection locked="0"/>
    </xf>
    <xf numFmtId="0" fontId="5" fillId="0" borderId="49" xfId="0" applyFont="1" applyFill="1" applyBorder="1" applyAlignment="1" applyProtection="1">
      <alignment horizontal="center" vertical="center"/>
      <protection locked="0"/>
    </xf>
    <xf numFmtId="0" fontId="5" fillId="0" borderId="50" xfId="0" applyFont="1" applyFill="1" applyBorder="1" applyAlignment="1" applyProtection="1">
      <alignment horizontal="center" vertical="center"/>
      <protection locked="0"/>
    </xf>
    <xf numFmtId="0" fontId="5" fillId="2" borderId="48" xfId="0" applyFont="1" applyFill="1" applyBorder="1" applyAlignment="1" applyProtection="1">
      <alignment horizontal="left" vertical="center" shrinkToFit="1"/>
      <protection locked="0"/>
    </xf>
    <xf numFmtId="0" fontId="5" fillId="2" borderId="49" xfId="0" applyFont="1" applyFill="1" applyBorder="1" applyAlignment="1" applyProtection="1">
      <alignment horizontal="left" vertical="center" shrinkToFit="1"/>
      <protection locked="0"/>
    </xf>
    <xf numFmtId="0" fontId="5" fillId="2" borderId="52" xfId="0" applyFont="1" applyFill="1" applyBorder="1" applyAlignment="1" applyProtection="1">
      <alignment horizontal="left" vertical="center" shrinkToFit="1"/>
      <protection locked="0"/>
    </xf>
    <xf numFmtId="0" fontId="5" fillId="2" borderId="12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33" xfId="0" applyFont="1" applyFill="1" applyBorder="1" applyAlignment="1">
      <alignment horizontal="left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7" xfId="0" applyFont="1" applyFill="1" applyBorder="1" applyAlignment="1" applyProtection="1">
      <alignment horizontal="right" shrinkToFit="1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45" xfId="0" applyFont="1" applyBorder="1" applyAlignment="1" applyProtection="1">
      <alignment horizontal="left" shrinkToFit="1"/>
      <protection locked="0"/>
    </xf>
    <xf numFmtId="0" fontId="6" fillId="0" borderId="46" xfId="0" applyFont="1" applyBorder="1" applyAlignment="1" applyProtection="1">
      <alignment horizontal="left" shrinkToFit="1"/>
      <protection locked="0"/>
    </xf>
    <xf numFmtId="0" fontId="6" fillId="0" borderId="32" xfId="0" applyFont="1" applyBorder="1" applyAlignment="1" applyProtection="1">
      <alignment horizontal="left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0" fontId="5" fillId="0" borderId="36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7" xfId="0" applyFont="1" applyBorder="1" applyAlignment="1" applyProtection="1">
      <alignment horizontal="left"/>
      <protection locked="0"/>
    </xf>
    <xf numFmtId="0" fontId="5" fillId="0" borderId="41" xfId="0" applyFont="1" applyBorder="1" applyAlignment="1" applyProtection="1">
      <alignment horizontal="left" vertical="center" shrinkToFit="1"/>
      <protection locked="0"/>
    </xf>
    <xf numFmtId="0" fontId="5" fillId="0" borderId="4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3" borderId="19" xfId="0" applyFont="1" applyFill="1" applyBorder="1" applyAlignment="1" applyProtection="1">
      <alignment horizontal="left" vertical="center" shrinkToFit="1"/>
      <protection locked="0"/>
    </xf>
    <xf numFmtId="0" fontId="5" fillId="3" borderId="20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2" fontId="5" fillId="0" borderId="40" xfId="0" applyNumberFormat="1" applyFont="1" applyBorder="1" applyAlignment="1" applyProtection="1">
      <alignment horizontal="center" vertical="center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2" fontId="5" fillId="3" borderId="56" xfId="0" applyNumberFormat="1" applyFont="1" applyFill="1" applyBorder="1" applyAlignment="1" applyProtection="1">
      <alignment horizontal="center" vertical="center"/>
    </xf>
    <xf numFmtId="2" fontId="5" fillId="3" borderId="57" xfId="0" applyNumberFormat="1" applyFont="1" applyFill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left" shrinkToFit="1"/>
      <protection locked="0"/>
    </xf>
    <xf numFmtId="0" fontId="6" fillId="0" borderId="28" xfId="0" applyFont="1" applyBorder="1" applyAlignment="1" applyProtection="1">
      <alignment horizontal="left" shrinkToFit="1"/>
      <protection locked="0"/>
    </xf>
    <xf numFmtId="0" fontId="6" fillId="2" borderId="31" xfId="0" applyFont="1" applyFill="1" applyBorder="1" applyAlignment="1" applyProtection="1">
      <alignment horizontal="right" shrinkToFit="1"/>
    </xf>
    <xf numFmtId="0" fontId="6" fillId="0" borderId="25" xfId="0" applyFont="1" applyFill="1" applyBorder="1" applyAlignment="1" applyProtection="1">
      <alignment horizontal="left" vertical="center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6" xfId="0" applyFont="1" applyFill="1" applyBorder="1" applyAlignment="1" applyProtection="1">
      <alignment horizontal="left" vertical="center" shrinkToFit="1"/>
      <protection locked="0"/>
    </xf>
    <xf numFmtId="0" fontId="8" fillId="2" borderId="12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5" xfId="0" applyFont="1" applyFill="1" applyBorder="1" applyAlignment="1" applyProtection="1">
      <alignment horizontal="center" vertical="center" textRotation="180"/>
    </xf>
    <xf numFmtId="0" fontId="8" fillId="2" borderId="36" xfId="0" applyFont="1" applyFill="1" applyBorder="1" applyAlignment="1" applyProtection="1">
      <alignment horizontal="center" vertical="center" textRotation="180"/>
    </xf>
    <xf numFmtId="0" fontId="8" fillId="2" borderId="37" xfId="0" applyFont="1" applyFill="1" applyBorder="1" applyAlignment="1" applyProtection="1">
      <alignment horizontal="center" vertical="center" textRotation="180"/>
    </xf>
    <xf numFmtId="0" fontId="8" fillId="2" borderId="12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5" xfId="0" applyFont="1" applyFill="1" applyBorder="1" applyAlignment="1" applyProtection="1">
      <alignment horizontal="center" vertical="top" textRotation="180"/>
    </xf>
    <xf numFmtId="0" fontId="8" fillId="2" borderId="36" xfId="0" applyFont="1" applyFill="1" applyBorder="1" applyAlignment="1" applyProtection="1">
      <alignment horizontal="center" vertical="top" textRotation="180"/>
    </xf>
    <xf numFmtId="0" fontId="8" fillId="2" borderId="37" xfId="0" applyFont="1" applyFill="1" applyBorder="1" applyAlignment="1" applyProtection="1">
      <alignment horizontal="center" vertical="top" textRotation="18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10" fillId="0" borderId="30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5" fillId="3" borderId="22" xfId="0" applyFont="1" applyFill="1" applyBorder="1" applyAlignment="1" applyProtection="1">
      <alignment horizontal="left" vertical="center" shrinkToFit="1"/>
      <protection locked="0"/>
    </xf>
    <xf numFmtId="0" fontId="5" fillId="3" borderId="23" xfId="0" applyFont="1" applyFill="1" applyBorder="1" applyAlignment="1" applyProtection="1">
      <alignment horizontal="left" vertical="center" shrinkToFit="1"/>
      <protection locked="0"/>
    </xf>
    <xf numFmtId="0" fontId="5" fillId="3" borderId="14" xfId="0" applyFont="1" applyFill="1" applyBorder="1" applyAlignment="1" applyProtection="1">
      <alignment horizontal="left" vertical="center" shrinkToFit="1"/>
      <protection locked="0"/>
    </xf>
    <xf numFmtId="0" fontId="6" fillId="0" borderId="25" xfId="0" applyFont="1" applyBorder="1" applyAlignment="1" applyProtection="1">
      <alignment horizontal="left" wrapText="1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T9" sqref="T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144"/>
      <c r="E1" s="144"/>
      <c r="F1" s="42"/>
      <c r="G1" s="155" t="s">
        <v>30</v>
      </c>
      <c r="H1" s="155"/>
      <c r="I1" s="155"/>
      <c r="J1" s="155"/>
      <c r="K1" s="155"/>
      <c r="L1" s="155"/>
      <c r="M1" s="155"/>
      <c r="N1" s="155"/>
      <c r="O1" s="155"/>
      <c r="P1" s="44"/>
      <c r="Q1" s="74"/>
      <c r="R1" s="75"/>
      <c r="S1" s="76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145"/>
      <c r="E2" s="145"/>
      <c r="F2" s="41"/>
      <c r="G2" s="156"/>
      <c r="H2" s="156"/>
      <c r="I2" s="156"/>
      <c r="J2" s="156"/>
      <c r="K2" s="156"/>
      <c r="L2" s="156"/>
      <c r="M2" s="156"/>
      <c r="N2" s="156"/>
      <c r="O2" s="156"/>
      <c r="P2" s="39"/>
      <c r="Q2" s="74"/>
      <c r="R2" s="75"/>
      <c r="S2" s="76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153" t="s">
        <v>7</v>
      </c>
      <c r="B4" s="154"/>
      <c r="C4" s="154"/>
      <c r="D4" s="48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2"/>
      <c r="P4" s="40"/>
      <c r="Q4" s="77" t="s">
        <v>8</v>
      </c>
      <c r="R4" s="77"/>
      <c r="S4" s="77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146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47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148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50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159" t="s">
        <v>0</v>
      </c>
      <c r="R7" s="159"/>
      <c r="S7" s="159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157" t="s">
        <v>9</v>
      </c>
      <c r="B8" s="158"/>
      <c r="C8" s="158"/>
      <c r="D8" s="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2"/>
      <c r="P8" s="40"/>
      <c r="Q8" s="160" t="s">
        <v>10</v>
      </c>
      <c r="R8" s="160"/>
      <c r="S8" s="160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29"/>
      <c r="Q9" s="117">
        <v>10</v>
      </c>
      <c r="R9" s="118"/>
      <c r="S9" s="11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20" t="s">
        <v>4</v>
      </c>
      <c r="B11" s="121"/>
      <c r="C11" s="121"/>
      <c r="D11" s="121"/>
      <c r="E11" s="121"/>
      <c r="F11" s="121"/>
      <c r="G11" s="121"/>
      <c r="H11" s="121"/>
      <c r="I11" s="122"/>
      <c r="J11" s="15" t="s">
        <v>0</v>
      </c>
      <c r="K11" s="16"/>
      <c r="L11" s="15" t="s">
        <v>1</v>
      </c>
      <c r="M11" s="64"/>
      <c r="N11" s="63" t="s">
        <v>12</v>
      </c>
      <c r="O11" s="63" t="s">
        <v>13</v>
      </c>
      <c r="P11" s="67"/>
      <c r="Q11" s="81" t="s">
        <v>14</v>
      </c>
      <c r="R11" s="81"/>
      <c r="S11" s="81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05" t="s">
        <v>15</v>
      </c>
      <c r="B12" s="106"/>
      <c r="C12" s="106"/>
      <c r="D12" s="106"/>
      <c r="E12" s="106"/>
      <c r="F12" s="106"/>
      <c r="G12" s="106"/>
      <c r="H12" s="106"/>
      <c r="I12" s="107"/>
      <c r="J12" s="51">
        <f>1/2</f>
        <v>0.5</v>
      </c>
      <c r="K12" s="17"/>
      <c r="L12" s="33" t="s">
        <v>29</v>
      </c>
      <c r="M12" s="18"/>
      <c r="N12" s="58">
        <f>IF(A12=0," ",(J12/$J$33)*4)</f>
        <v>2</v>
      </c>
      <c r="O12" s="58">
        <f>IF(A12=0," ",(J12/$J$33)*12)</f>
        <v>6</v>
      </c>
      <c r="P12" s="61"/>
      <c r="Q12" s="114">
        <f>IF(A12=0," ",(J12/$J$33)*$Q$9)</f>
        <v>5</v>
      </c>
      <c r="R12" s="115"/>
      <c r="S12" s="116"/>
      <c r="U12" s="9"/>
      <c r="V12" s="9"/>
    </row>
    <row r="13" spans="1:29" ht="12.75" customHeight="1">
      <c r="A13" s="108" t="s">
        <v>16</v>
      </c>
      <c r="B13" s="109"/>
      <c r="C13" s="109"/>
      <c r="D13" s="109"/>
      <c r="E13" s="109"/>
      <c r="F13" s="109"/>
      <c r="G13" s="109"/>
      <c r="H13" s="109"/>
      <c r="I13" s="110"/>
      <c r="J13" s="52">
        <v>4.5</v>
      </c>
      <c r="K13" s="53"/>
      <c r="L13" s="54" t="s">
        <v>28</v>
      </c>
      <c r="M13" s="55"/>
      <c r="N13" s="59">
        <f t="shared" ref="N13:N31" si="0">IF(A13=0," ",(J13/$J$33)*4)</f>
        <v>18</v>
      </c>
      <c r="O13" s="59">
        <f t="shared" ref="O13:O31" si="1">IF(A13=0," ",(J13/$J$33)*12)</f>
        <v>54</v>
      </c>
      <c r="P13" s="62"/>
      <c r="Q13" s="78">
        <f t="shared" ref="Q13:Q31" si="2">IF(A13=0," ",(J13/$J$33)*$Q$9)</f>
        <v>45</v>
      </c>
      <c r="R13" s="79"/>
      <c r="S13" s="80"/>
      <c r="U13" s="9"/>
      <c r="V13" s="9"/>
    </row>
    <row r="14" spans="1:29" ht="12.75" customHeight="1">
      <c r="A14" s="111" t="s">
        <v>17</v>
      </c>
      <c r="B14" s="112"/>
      <c r="C14" s="112"/>
      <c r="D14" s="112"/>
      <c r="E14" s="112"/>
      <c r="F14" s="112"/>
      <c r="G14" s="112"/>
      <c r="H14" s="112"/>
      <c r="I14" s="113"/>
      <c r="J14" s="51">
        <v>0.33</v>
      </c>
      <c r="K14" s="17"/>
      <c r="L14" s="34" t="s">
        <v>29</v>
      </c>
      <c r="M14" s="18"/>
      <c r="N14" s="58">
        <f t="shared" si="0"/>
        <v>1.32</v>
      </c>
      <c r="O14" s="58">
        <f t="shared" si="1"/>
        <v>3.96</v>
      </c>
      <c r="P14" s="61"/>
      <c r="Q14" s="68">
        <f t="shared" si="2"/>
        <v>3.3000000000000003</v>
      </c>
      <c r="R14" s="69"/>
      <c r="S14" s="70"/>
      <c r="U14" s="9"/>
      <c r="V14" s="9"/>
    </row>
    <row r="15" spans="1:29" ht="12.75" customHeight="1">
      <c r="A15" s="108" t="s">
        <v>18</v>
      </c>
      <c r="B15" s="109"/>
      <c r="C15" s="109"/>
      <c r="D15" s="109"/>
      <c r="E15" s="109"/>
      <c r="F15" s="109"/>
      <c r="G15" s="109"/>
      <c r="H15" s="109"/>
      <c r="I15" s="110"/>
      <c r="J15" s="52">
        <v>1.25</v>
      </c>
      <c r="K15" s="53"/>
      <c r="L15" s="54" t="s">
        <v>29</v>
      </c>
      <c r="M15" s="56"/>
      <c r="N15" s="59">
        <f t="shared" si="0"/>
        <v>5</v>
      </c>
      <c r="O15" s="59">
        <f t="shared" si="1"/>
        <v>15</v>
      </c>
      <c r="P15" s="62"/>
      <c r="Q15" s="78">
        <f t="shared" si="2"/>
        <v>12.5</v>
      </c>
      <c r="R15" s="79"/>
      <c r="S15" s="80"/>
      <c r="U15" s="9"/>
      <c r="V15" s="9"/>
    </row>
    <row r="16" spans="1:29" ht="12.75" customHeight="1">
      <c r="A16" s="111" t="s">
        <v>19</v>
      </c>
      <c r="B16" s="112"/>
      <c r="C16" s="112"/>
      <c r="D16" s="112"/>
      <c r="E16" s="112"/>
      <c r="F16" s="112"/>
      <c r="G16" s="112"/>
      <c r="H16" s="112"/>
      <c r="I16" s="113"/>
      <c r="J16" s="51">
        <v>4</v>
      </c>
      <c r="K16" s="17"/>
      <c r="L16" s="34" t="s">
        <v>29</v>
      </c>
      <c r="M16" s="18"/>
      <c r="N16" s="58">
        <f t="shared" si="0"/>
        <v>16</v>
      </c>
      <c r="O16" s="58">
        <f t="shared" si="1"/>
        <v>48</v>
      </c>
      <c r="P16" s="61"/>
      <c r="Q16" s="68">
        <f t="shared" si="2"/>
        <v>40</v>
      </c>
      <c r="R16" s="69"/>
      <c r="S16" s="70"/>
      <c r="U16" s="9"/>
      <c r="V16" s="9"/>
    </row>
    <row r="17" spans="1:23" ht="12.75" customHeight="1">
      <c r="A17" s="108" t="s">
        <v>20</v>
      </c>
      <c r="B17" s="109"/>
      <c r="C17" s="109"/>
      <c r="D17" s="109"/>
      <c r="E17" s="109"/>
      <c r="F17" s="109"/>
      <c r="G17" s="109"/>
      <c r="H17" s="109"/>
      <c r="I17" s="110"/>
      <c r="J17" s="52">
        <v>0.125</v>
      </c>
      <c r="K17" s="53"/>
      <c r="L17" s="54" t="s">
        <v>28</v>
      </c>
      <c r="M17" s="55"/>
      <c r="N17" s="59">
        <f t="shared" si="0"/>
        <v>0.5</v>
      </c>
      <c r="O17" s="59">
        <f t="shared" si="1"/>
        <v>1.5</v>
      </c>
      <c r="P17" s="62"/>
      <c r="Q17" s="78">
        <f t="shared" si="2"/>
        <v>1.25</v>
      </c>
      <c r="R17" s="79"/>
      <c r="S17" s="80"/>
      <c r="U17" s="9"/>
      <c r="V17" s="9"/>
    </row>
    <row r="18" spans="1:23" ht="12.75" customHeight="1">
      <c r="A18" s="111" t="s">
        <v>21</v>
      </c>
      <c r="B18" s="112"/>
      <c r="C18" s="112"/>
      <c r="D18" s="112"/>
      <c r="E18" s="112"/>
      <c r="F18" s="112"/>
      <c r="G18" s="112"/>
      <c r="H18" s="112"/>
      <c r="I18" s="113"/>
      <c r="J18" s="51">
        <v>1</v>
      </c>
      <c r="K18" s="17"/>
      <c r="L18" s="34" t="s">
        <v>28</v>
      </c>
      <c r="M18" s="18"/>
      <c r="N18" s="58">
        <f t="shared" si="0"/>
        <v>4</v>
      </c>
      <c r="O18" s="58">
        <f t="shared" si="1"/>
        <v>12</v>
      </c>
      <c r="P18" s="61"/>
      <c r="Q18" s="68">
        <f t="shared" si="2"/>
        <v>10</v>
      </c>
      <c r="R18" s="69"/>
      <c r="S18" s="70"/>
      <c r="U18" s="9"/>
      <c r="V18" s="9"/>
    </row>
    <row r="19" spans="1:23" ht="12.75" customHeight="1">
      <c r="A19" s="108" t="s">
        <v>22</v>
      </c>
      <c r="B19" s="109"/>
      <c r="C19" s="109"/>
      <c r="D19" s="109"/>
      <c r="E19" s="109"/>
      <c r="F19" s="109"/>
      <c r="G19" s="109"/>
      <c r="H19" s="109"/>
      <c r="I19" s="110"/>
      <c r="J19" s="52">
        <v>4</v>
      </c>
      <c r="K19" s="53"/>
      <c r="L19" s="54" t="s">
        <v>23</v>
      </c>
      <c r="M19" s="55"/>
      <c r="N19" s="59">
        <f t="shared" si="0"/>
        <v>16</v>
      </c>
      <c r="O19" s="59">
        <f t="shared" si="1"/>
        <v>48</v>
      </c>
      <c r="P19" s="62"/>
      <c r="Q19" s="78">
        <f t="shared" si="2"/>
        <v>40</v>
      </c>
      <c r="R19" s="79"/>
      <c r="S19" s="80"/>
      <c r="U19" s="9"/>
      <c r="V19" s="9"/>
    </row>
    <row r="20" spans="1:23" ht="12.75" customHeight="1">
      <c r="A20" s="111" t="s">
        <v>24</v>
      </c>
      <c r="B20" s="112"/>
      <c r="C20" s="112"/>
      <c r="D20" s="112"/>
      <c r="E20" s="112"/>
      <c r="F20" s="112"/>
      <c r="G20" s="112"/>
      <c r="H20" s="112"/>
      <c r="I20" s="113"/>
      <c r="J20" s="51">
        <v>3</v>
      </c>
      <c r="K20" s="17"/>
      <c r="L20" s="34" t="s">
        <v>27</v>
      </c>
      <c r="M20" s="18"/>
      <c r="N20" s="58">
        <f t="shared" si="0"/>
        <v>12</v>
      </c>
      <c r="O20" s="58">
        <f t="shared" si="1"/>
        <v>36</v>
      </c>
      <c r="P20" s="61"/>
      <c r="Q20" s="68">
        <f t="shared" si="2"/>
        <v>30</v>
      </c>
      <c r="R20" s="69"/>
      <c r="S20" s="70"/>
      <c r="U20" s="9"/>
      <c r="V20" s="9"/>
    </row>
    <row r="21" spans="1:23" ht="12.75" customHeight="1">
      <c r="A21" s="108" t="s">
        <v>25</v>
      </c>
      <c r="B21" s="109"/>
      <c r="C21" s="109"/>
      <c r="D21" s="109"/>
      <c r="E21" s="109"/>
      <c r="F21" s="109"/>
      <c r="G21" s="109"/>
      <c r="H21" s="109"/>
      <c r="I21" s="110"/>
      <c r="J21" s="52">
        <v>0.5</v>
      </c>
      <c r="K21" s="53"/>
      <c r="L21" s="54" t="s">
        <v>28</v>
      </c>
      <c r="M21" s="55"/>
      <c r="N21" s="59">
        <f t="shared" si="0"/>
        <v>2</v>
      </c>
      <c r="O21" s="59">
        <f t="shared" si="1"/>
        <v>6</v>
      </c>
      <c r="P21" s="62"/>
      <c r="Q21" s="78">
        <f t="shared" si="2"/>
        <v>5</v>
      </c>
      <c r="R21" s="79"/>
      <c r="S21" s="80"/>
      <c r="U21" s="9"/>
      <c r="V21" s="9"/>
    </row>
    <row r="22" spans="1:23" ht="12.75" customHeight="1">
      <c r="A22" s="111" t="s">
        <v>26</v>
      </c>
      <c r="B22" s="112"/>
      <c r="C22" s="112"/>
      <c r="D22" s="112"/>
      <c r="E22" s="112"/>
      <c r="F22" s="112"/>
      <c r="G22" s="112"/>
      <c r="H22" s="112"/>
      <c r="I22" s="113"/>
      <c r="J22" s="51">
        <v>0.5</v>
      </c>
      <c r="K22" s="17"/>
      <c r="L22" s="34" t="s">
        <v>28</v>
      </c>
      <c r="M22" s="18"/>
      <c r="N22" s="58">
        <f t="shared" si="0"/>
        <v>2</v>
      </c>
      <c r="O22" s="58">
        <f t="shared" si="1"/>
        <v>6</v>
      </c>
      <c r="P22" s="61"/>
      <c r="Q22" s="68">
        <f t="shared" si="2"/>
        <v>5</v>
      </c>
      <c r="R22" s="69"/>
      <c r="S22" s="70"/>
      <c r="U22" s="9"/>
      <c r="V22" s="9"/>
      <c r="W22" s="9"/>
    </row>
    <row r="23" spans="1:23" ht="12.75" customHeight="1">
      <c r="A23" s="108"/>
      <c r="B23" s="109"/>
      <c r="C23" s="109"/>
      <c r="D23" s="109"/>
      <c r="E23" s="109"/>
      <c r="F23" s="109"/>
      <c r="G23" s="109"/>
      <c r="H23" s="109"/>
      <c r="I23" s="110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78" t="str">
        <f t="shared" si="2"/>
        <v xml:space="preserve"> </v>
      </c>
      <c r="R23" s="79"/>
      <c r="S23" s="80"/>
      <c r="U23" s="9"/>
      <c r="V23" s="9"/>
    </row>
    <row r="24" spans="1:23" ht="12.75" customHeight="1">
      <c r="A24" s="111"/>
      <c r="B24" s="112"/>
      <c r="C24" s="112"/>
      <c r="D24" s="112"/>
      <c r="E24" s="112"/>
      <c r="F24" s="112"/>
      <c r="G24" s="112"/>
      <c r="H24" s="112"/>
      <c r="I24" s="113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68" t="str">
        <f t="shared" si="2"/>
        <v xml:space="preserve"> </v>
      </c>
      <c r="R24" s="69"/>
      <c r="S24" s="70"/>
      <c r="U24" s="9"/>
      <c r="V24" s="9"/>
    </row>
    <row r="25" spans="1:23" ht="12.75" customHeight="1">
      <c r="A25" s="108"/>
      <c r="B25" s="109"/>
      <c r="C25" s="109"/>
      <c r="D25" s="109"/>
      <c r="E25" s="109"/>
      <c r="F25" s="109"/>
      <c r="G25" s="109"/>
      <c r="H25" s="109"/>
      <c r="I25" s="110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78" t="str">
        <f t="shared" si="2"/>
        <v xml:space="preserve"> </v>
      </c>
      <c r="R25" s="79"/>
      <c r="S25" s="80"/>
      <c r="U25" s="9"/>
      <c r="V25" s="9"/>
    </row>
    <row r="26" spans="1:23" ht="12.75" customHeight="1">
      <c r="A26" s="111"/>
      <c r="B26" s="112"/>
      <c r="C26" s="112"/>
      <c r="D26" s="112"/>
      <c r="E26" s="112"/>
      <c r="F26" s="112"/>
      <c r="G26" s="112"/>
      <c r="H26" s="112"/>
      <c r="I26" s="113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68" t="str">
        <f t="shared" si="2"/>
        <v xml:space="preserve"> </v>
      </c>
      <c r="R26" s="69"/>
      <c r="S26" s="70"/>
    </row>
    <row r="27" spans="1:23" ht="12.75" customHeight="1">
      <c r="A27" s="108"/>
      <c r="B27" s="109"/>
      <c r="C27" s="109"/>
      <c r="D27" s="109"/>
      <c r="E27" s="109"/>
      <c r="F27" s="109"/>
      <c r="G27" s="109"/>
      <c r="H27" s="109"/>
      <c r="I27" s="110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78" t="str">
        <f t="shared" si="2"/>
        <v xml:space="preserve"> </v>
      </c>
      <c r="R27" s="79"/>
      <c r="S27" s="80"/>
    </row>
    <row r="28" spans="1:23" ht="12.75" customHeight="1">
      <c r="A28" s="111"/>
      <c r="B28" s="112"/>
      <c r="C28" s="112"/>
      <c r="D28" s="112"/>
      <c r="E28" s="112"/>
      <c r="F28" s="112"/>
      <c r="G28" s="112"/>
      <c r="H28" s="112"/>
      <c r="I28" s="113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68" t="str">
        <f t="shared" si="2"/>
        <v xml:space="preserve"> </v>
      </c>
      <c r="R28" s="69"/>
      <c r="S28" s="70"/>
    </row>
    <row r="29" spans="1:23" ht="12.75" customHeight="1">
      <c r="A29" s="108"/>
      <c r="B29" s="109"/>
      <c r="C29" s="109"/>
      <c r="D29" s="109"/>
      <c r="E29" s="109"/>
      <c r="F29" s="109"/>
      <c r="G29" s="109"/>
      <c r="H29" s="109"/>
      <c r="I29" s="110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78" t="str">
        <f t="shared" si="2"/>
        <v xml:space="preserve"> </v>
      </c>
      <c r="R29" s="79"/>
      <c r="S29" s="80"/>
    </row>
    <row r="30" spans="1:23" ht="12.75" customHeight="1">
      <c r="A30" s="111"/>
      <c r="B30" s="112"/>
      <c r="C30" s="112"/>
      <c r="D30" s="112"/>
      <c r="E30" s="112"/>
      <c r="F30" s="112"/>
      <c r="G30" s="112"/>
      <c r="H30" s="112"/>
      <c r="I30" s="113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68" t="str">
        <f t="shared" si="2"/>
        <v xml:space="preserve"> </v>
      </c>
      <c r="R30" s="69"/>
      <c r="S30" s="70"/>
    </row>
    <row r="31" spans="1:23" ht="12.75" customHeight="1">
      <c r="A31" s="161"/>
      <c r="B31" s="162"/>
      <c r="C31" s="162"/>
      <c r="D31" s="162"/>
      <c r="E31" s="162"/>
      <c r="F31" s="162"/>
      <c r="G31" s="162"/>
      <c r="H31" s="162"/>
      <c r="I31" s="163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3" t="str">
        <f t="shared" si="2"/>
        <v xml:space="preserve"> </v>
      </c>
      <c r="R31" s="124"/>
      <c r="S31" s="125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88" t="s">
        <v>11</v>
      </c>
      <c r="B33" s="89"/>
      <c r="C33" s="89"/>
      <c r="D33" s="89"/>
      <c r="E33" s="89"/>
      <c r="F33" s="89"/>
      <c r="G33" s="89"/>
      <c r="H33" s="89"/>
      <c r="I33" s="90"/>
      <c r="J33" s="85">
        <v>1</v>
      </c>
      <c r="K33" s="86"/>
      <c r="L33" s="87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91" t="s">
        <v>2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3"/>
    </row>
    <row r="37" spans="1:19" s="10" customFormat="1" ht="4.5" customHeight="1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4"/>
    </row>
    <row r="38" spans="1:19" ht="11.45" customHeight="1">
      <c r="A38" s="97" t="s">
        <v>32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9"/>
    </row>
    <row r="39" spans="1:19" ht="11.45" customHeight="1">
      <c r="A39" s="164" t="s">
        <v>33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3"/>
    </row>
    <row r="40" spans="1:19" ht="11.45" customHeight="1">
      <c r="A40" s="71" t="s">
        <v>34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3"/>
    </row>
    <row r="41" spans="1:19" ht="11.45" customHeight="1">
      <c r="A41" s="71" t="s">
        <v>35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</row>
    <row r="42" spans="1:19" ht="11.45" customHeight="1">
      <c r="A42" s="71" t="s">
        <v>36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</row>
    <row r="43" spans="1:19" ht="11.45" customHeight="1">
      <c r="A43" s="71" t="s">
        <v>37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</row>
    <row r="44" spans="1:19" ht="11.45" customHeight="1">
      <c r="A44" s="71" t="s">
        <v>38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</row>
    <row r="45" spans="1:19" ht="11.45" customHeight="1">
      <c r="A45" s="71" t="s">
        <v>39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</row>
    <row r="46" spans="1:19" ht="11.45" customHeight="1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</row>
    <row r="47" spans="1:19" ht="11.45" customHeight="1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00"/>
      <c r="M47" s="100"/>
      <c r="N47" s="100"/>
      <c r="O47" s="100"/>
      <c r="P47" s="100"/>
      <c r="Q47" s="100"/>
      <c r="R47" s="100"/>
      <c r="S47" s="101"/>
    </row>
    <row r="48" spans="1:19" ht="11.45" customHeight="1" thickBot="1">
      <c r="A48" s="126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94" t="s">
        <v>5</v>
      </c>
      <c r="M48" s="95"/>
      <c r="N48" s="95"/>
      <c r="O48" s="95"/>
      <c r="P48" s="95"/>
      <c r="Q48" s="95"/>
      <c r="R48" s="95"/>
      <c r="S48" s="96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91" t="s">
        <v>3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3"/>
    </row>
    <row r="51" spans="1:21" s="10" customFormat="1" ht="4.5" customHeight="1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4"/>
    </row>
    <row r="52" spans="1:21" ht="11.25" customHeight="1">
      <c r="A52" s="97" t="s">
        <v>31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9"/>
    </row>
    <row r="53" spans="1:21" ht="13.5" thickBot="1">
      <c r="A53" s="71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</row>
    <row r="54" spans="1:21" ht="11.25" customHeight="1">
      <c r="A54" s="71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132" t="str">
        <f>IF(Q1=0, " ", Q1)</f>
        <v xml:space="preserve"> </v>
      </c>
      <c r="S54" s="133"/>
    </row>
    <row r="55" spans="1:21" ht="11.25" customHeight="1">
      <c r="A55" s="71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134"/>
      <c r="S55" s="135"/>
    </row>
    <row r="56" spans="1:21" ht="11.25" customHeight="1" thickBot="1">
      <c r="A56" s="71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136"/>
      <c r="S56" s="137"/>
    </row>
    <row r="57" spans="1:21" ht="11.25" customHeight="1">
      <c r="A57" s="71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138" t="str">
        <f>IF(Q2=0, " ", Q2)</f>
        <v xml:space="preserve"> </v>
      </c>
      <c r="S57" s="139"/>
    </row>
    <row r="58" spans="1:21" ht="11.25" customHeight="1">
      <c r="A58" s="129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1"/>
      <c r="R58" s="140"/>
      <c r="S58" s="141"/>
      <c r="T58" s="10"/>
      <c r="U58" s="10"/>
    </row>
    <row r="59" spans="1:21" ht="11.25" customHeight="1">
      <c r="A59" s="71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00"/>
      <c r="M59" s="100"/>
      <c r="N59" s="100"/>
      <c r="O59" s="100"/>
      <c r="P59" s="100"/>
      <c r="Q59" s="100"/>
      <c r="R59" s="140"/>
      <c r="S59" s="141"/>
    </row>
    <row r="60" spans="1:21" ht="11.25" customHeight="1" thickBot="1">
      <c r="A60" s="126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94" t="s">
        <v>6</v>
      </c>
      <c r="M60" s="95"/>
      <c r="N60" s="95"/>
      <c r="O60" s="95"/>
      <c r="P60" s="95"/>
      <c r="Q60" s="128"/>
      <c r="R60" s="142"/>
      <c r="S60" s="143"/>
    </row>
    <row r="61" spans="1:21" ht="11.25" customHeight="1"/>
  </sheetData>
  <sheetProtection sheet="1" objects="1" scenarios="1"/>
  <mergeCells count="89">
    <mergeCell ref="A29:I29"/>
    <mergeCell ref="A30:I30"/>
    <mergeCell ref="A31:I31"/>
    <mergeCell ref="A25:I25"/>
    <mergeCell ref="A26:I26"/>
    <mergeCell ref="A27:I27"/>
    <mergeCell ref="A28:I28"/>
    <mergeCell ref="A17:I17"/>
    <mergeCell ref="A18:I18"/>
    <mergeCell ref="A21:I21"/>
    <mergeCell ref="A22:I22"/>
    <mergeCell ref="A23:I23"/>
    <mergeCell ref="A24:I24"/>
    <mergeCell ref="G2:O2"/>
    <mergeCell ref="A8:C8"/>
    <mergeCell ref="E8:O8"/>
    <mergeCell ref="Q7:S7"/>
    <mergeCell ref="Q8:S8"/>
    <mergeCell ref="A15:I15"/>
    <mergeCell ref="A57:Q57"/>
    <mergeCell ref="R54:S56"/>
    <mergeCell ref="R57:S60"/>
    <mergeCell ref="D1:E1"/>
    <mergeCell ref="D2:E2"/>
    <mergeCell ref="A5:O5"/>
    <mergeCell ref="A6:O6"/>
    <mergeCell ref="E4:O4"/>
    <mergeCell ref="A4:C4"/>
    <mergeCell ref="G1:O1"/>
    <mergeCell ref="Q22:S22"/>
    <mergeCell ref="Q20:S20"/>
    <mergeCell ref="Q23:S23"/>
    <mergeCell ref="A53:S53"/>
    <mergeCell ref="L60:Q60"/>
    <mergeCell ref="A60:K60"/>
    <mergeCell ref="A58:Q58"/>
    <mergeCell ref="A59:Q59"/>
    <mergeCell ref="A55:Q55"/>
    <mergeCell ref="A56:Q56"/>
    <mergeCell ref="A54:Q54"/>
    <mergeCell ref="A36:S36"/>
    <mergeCell ref="Q30:S30"/>
    <mergeCell ref="Q31:S31"/>
    <mergeCell ref="Q29:S29"/>
    <mergeCell ref="Q21:S21"/>
    <mergeCell ref="A52:S52"/>
    <mergeCell ref="A48:K48"/>
    <mergeCell ref="Q27:S27"/>
    <mergeCell ref="Q28:S28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16:I16"/>
    <mergeCell ref="A50:S50"/>
    <mergeCell ref="L48:S48"/>
    <mergeCell ref="A51:S51"/>
    <mergeCell ref="A38:S38"/>
    <mergeCell ref="A39:S39"/>
    <mergeCell ref="A40:S40"/>
    <mergeCell ref="A41:S41"/>
    <mergeCell ref="A46:S46"/>
    <mergeCell ref="A47:S47"/>
    <mergeCell ref="A42:S42"/>
    <mergeCell ref="Q14:S14"/>
    <mergeCell ref="A37:S37"/>
    <mergeCell ref="Q24:S24"/>
    <mergeCell ref="Q25:S25"/>
    <mergeCell ref="Q26:S26"/>
    <mergeCell ref="J33:L33"/>
    <mergeCell ref="A33:I33"/>
    <mergeCell ref="A19:I19"/>
    <mergeCell ref="A20:I20"/>
    <mergeCell ref="Q19:S19"/>
    <mergeCell ref="Q18:S18"/>
    <mergeCell ref="A43:S43"/>
    <mergeCell ref="A44:S44"/>
    <mergeCell ref="A45:S45"/>
    <mergeCell ref="Q1:S1"/>
    <mergeCell ref="Q2:S2"/>
    <mergeCell ref="Q4:S4"/>
    <mergeCell ref="Q17:S17"/>
    <mergeCell ref="Q11:S11"/>
    <mergeCell ref="Q13:S13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2003-11-20T16:56:25Z</cp:lastPrinted>
  <dcterms:created xsi:type="dcterms:W3CDTF">2000-10-24T15:57:25Z</dcterms:created>
  <dcterms:modified xsi:type="dcterms:W3CDTF">2011-07-24T14:55:28Z</dcterms:modified>
</cp:coreProperties>
</file>