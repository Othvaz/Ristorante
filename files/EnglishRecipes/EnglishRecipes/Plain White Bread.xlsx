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3" i="1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<sst xmlns="http://schemas.openxmlformats.org/spreadsheetml/2006/main" count="38" uniqueCount="31">
  <si>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</si>
  <si>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</si>
  <si>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</si>
  <si>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</si>
  <si>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</si>
  <si>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</si>
  <si>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</si>
  <si>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</si>
  <si>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</si>
  <si>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</si>
  <si>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</si>
  <si>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4 loaves</t>
  </si>
  <si>
    <t>12 loaves</t>
  </si>
  <si>
    <t>loaves</t>
  </si>
  <si>
    <t>As it appears above, recipe yields how many loaves?</t>
  </si>
  <si>
    <t>Plain White Bread</t>
  </si>
  <si>
    <t>Excellent for grilled sandwiches &amp; toast</t>
  </si>
  <si>
    <t>Bernard Clayton's Complete Book of Bread</t>
  </si>
  <si>
    <t>bread flour</t>
  </si>
  <si>
    <t>#</t>
  </si>
  <si>
    <t>sugar</t>
  </si>
  <si>
    <t>salt</t>
  </si>
  <si>
    <t>dry milk</t>
  </si>
  <si>
    <t>water</t>
  </si>
  <si>
    <t>shortening</t>
  </si>
  <si>
    <t>In mixing bowl combine half of the flour, all the sugar, salt, yeast and dry milk.  Add water and beat with the paddle attachment</t>
  </si>
  <si>
    <t>to blend thoroughly.  Add shortening and continue beating until smooth. Add remaining flour gradually, until a smooth, supple</t>
  </si>
  <si>
    <t>dough forms.  Knead for 8-10 minutes on low speed.  Cover with plastic wrap and let rise until doubled.  Turn out onto work</t>
  </si>
  <si>
    <t>table and divide into 28-oz. portions.  Shape and place in loaf pans.  Place pans in bakery cabinet and let rise again.  Bake at</t>
  </si>
  <si>
    <t>325° for 25 minutes, rotate pans, then bake another 7-10 minutes with the vent pulled out.</t>
  </si>
  <si>
    <t>instant yeast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</si>
</sst>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0" borderId="35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6" xfId="0" applyFont="1" applyBorder="1" applyAlignment="1" applyProtection="1">
      <alignment horizontal="left" vertical="center" shrinkToFit="1"/>
      <protection locked="0"/>
    </xf>
    <xf numFmtId="0" fontId="5" fillId="3" borderId="35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36" xfId="0" applyFont="1" applyFill="1" applyBorder="1" applyAlignment="1" applyProtection="1">
      <alignment horizontal="left" vertical="center" shrinkToFit="1"/>
      <protection locked="0"/>
    </xf>
    <xf numFmtId="0" fontId="10" fillId="0" borderId="45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53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0" borderId="44" xfId="0" applyFont="1" applyBorder="1" applyAlignment="1" applyProtection="1">
      <alignment horizontal="left" vertical="center" shrinkToFit="1"/>
      <protection locked="0"/>
    </xf>
    <xf numFmtId="0" fontId="5" fillId="0" borderId="52" xfId="0" applyFont="1" applyBorder="1" applyAlignment="1" applyProtection="1">
      <alignment horizontal="left" vertical="center" shrinkToFit="1"/>
      <protection locked="0"/>
    </xf>
    <xf numFmtId="0" fontId="10" fillId="0" borderId="54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24" xfId="0" applyFont="1" applyFill="1" applyBorder="1" applyAlignment="1" applyProtection="1">
      <alignment horizontal="center" vertical="center" textRotation="180"/>
    </xf>
    <xf numFmtId="0" fontId="8" fillId="2" borderId="30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24" xfId="0" applyFont="1" applyFill="1" applyBorder="1" applyAlignment="1" applyProtection="1">
      <alignment horizontal="center" vertical="top" textRotation="180"/>
    </xf>
    <xf numFmtId="0" fontId="8" fillId="2" borderId="30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1" xfId="0" applyFont="1" applyFill="1" applyBorder="1" applyAlignment="1" applyProtection="1">
      <alignment horizontal="right" shrinkToFit="1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2" fontId="5" fillId="3" borderId="17" xfId="0" applyNumberFormat="1" applyFont="1" applyFill="1" applyBorder="1" applyAlignment="1" applyProtection="1">
      <alignment horizontal="center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2" fontId="5" fillId="3" borderId="19" xfId="0" applyNumberFormat="1" applyFont="1" applyFill="1" applyBorder="1" applyAlignment="1" applyProtection="1">
      <alignment horizontal="center" vertical="center"/>
    </xf>
    <xf numFmtId="2" fontId="5" fillId="0" borderId="17" xfId="0" applyNumberFormat="1" applyFont="1" applyBorder="1" applyAlignment="1" applyProtection="1">
      <alignment horizontal="center" vertical="center"/>
    </xf>
    <xf numFmtId="2" fontId="5" fillId="0" borderId="18" xfId="0" applyNumberFormat="1" applyFont="1" applyBorder="1" applyAlignment="1" applyProtection="1">
      <alignment horizontal="center" vertical="center"/>
    </xf>
    <xf numFmtId="2" fontId="5" fillId="0" borderId="19" xfId="0" applyNumberFormat="1" applyFont="1" applyBorder="1" applyAlignment="1" applyProtection="1">
      <alignment horizontal="center" vertical="center"/>
    </xf>
    <xf numFmtId="0" fontId="5" fillId="2" borderId="45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6" xfId="0" applyFont="1" applyFill="1" applyBorder="1" applyAlignment="1">
      <alignment horizontal="left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9" xfId="0" applyNumberFormat="1" applyFont="1" applyFill="1" applyBorder="1" applyAlignment="1" applyProtection="1">
      <alignment horizontal="center" vertical="center"/>
    </xf>
    <xf numFmtId="2" fontId="5" fillId="3" borderId="50" xfId="0" applyNumberFormat="1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5" fillId="3" borderId="55" xfId="0" applyFont="1" applyFill="1" applyBorder="1" applyAlignment="1" applyProtection="1">
      <alignment horizontal="left" vertical="center" shrinkToFit="1"/>
      <protection locked="0"/>
    </xf>
    <xf numFmtId="0" fontId="5" fillId="3" borderId="56" xfId="0" applyFont="1" applyFill="1" applyBorder="1" applyAlignment="1" applyProtection="1">
      <alignment horizontal="left" vertical="center" shrinkToFit="1"/>
      <protection locked="0"/>
    </xf>
    <xf numFmtId="0" fontId="5" fillId="3" borderId="57" xfId="0" applyFont="1" applyFill="1" applyBorder="1" applyAlignment="1" applyProtection="1">
      <alignment horizontal="left" vertical="center" shrinkToFit="1"/>
      <protection locked="0"/>
    </xf>
    <xf numFmtId="0" fontId="6" fillId="0" borderId="48" xfId="0" applyFont="1" applyBorder="1" applyAlignment="1" applyProtection="1">
      <alignment horizontal="left" shrinkToFit="1"/>
      <protection locked="0"/>
    </xf>
    <xf numFmtId="0" fontId="6" fillId="0" borderId="40" xfId="0" applyFont="1" applyBorder="1" applyAlignment="1" applyProtection="1">
      <alignment horizontal="left" shrinkToFit="1"/>
      <protection locked="0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2" borderId="7" xfId="0" applyFont="1" applyFill="1" applyBorder="1" applyAlignment="1" applyProtection="1">
      <alignment horizontal="right" shrinkToFit="1"/>
    </xf>
    <xf numFmtId="0" fontId="5" fillId="0" borderId="2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 vertical="center" shrinkToFit="1"/>
      <protection locked="0"/>
    </xf>
    <xf numFmtId="0" fontId="5" fillId="0" borderId="33" xfId="0" applyFont="1" applyBorder="1" applyAlignment="1" applyProtection="1">
      <alignment horizontal="left" vertical="center" shrinkToFit="1"/>
      <protection locked="0"/>
    </xf>
    <xf numFmtId="0" fontId="5" fillId="0" borderId="34" xfId="0" applyFont="1" applyBorder="1" applyAlignment="1" applyProtection="1">
      <alignment horizontal="left" vertical="center" shrinkToFit="1"/>
      <protection locked="0"/>
    </xf>
    <xf numFmtId="2" fontId="5" fillId="0" borderId="37" xfId="0" applyNumberFormat="1" applyFont="1" applyBorder="1" applyAlignment="1" applyProtection="1">
      <alignment horizontal="center" vertical="center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 vertical="center" shrinkToFit="1"/>
      <protection locked="0"/>
    </xf>
    <xf numFmtId="0" fontId="5" fillId="2" borderId="26" xfId="0" applyFont="1" applyFill="1" applyBorder="1" applyAlignment="1" applyProtection="1">
      <alignment horizontal="left" vertical="center" shrinkToFit="1"/>
      <protection locked="0"/>
    </xf>
    <xf numFmtId="0" fontId="5" fillId="2" borderId="2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80"/>
      <c r="E1" s="80"/>
      <c r="F1" s="42"/>
      <c r="G1" s="89" t="s">
        <v>15</v>
      </c>
      <c r="H1" s="89"/>
      <c r="I1" s="89"/>
      <c r="J1" s="89"/>
      <c r="K1" s="89"/>
      <c r="L1" s="89"/>
      <c r="M1" s="89"/>
      <c r="N1" s="89"/>
      <c r="O1" s="89"/>
      <c r="P1" s="44"/>
      <c r="Q1" s="153"/>
      <c r="R1" s="154"/>
      <c r="S1" s="15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81"/>
      <c r="E2" s="81"/>
      <c r="F2" s="41"/>
      <c r="G2" s="90"/>
      <c r="H2" s="90"/>
      <c r="I2" s="90"/>
      <c r="J2" s="90"/>
      <c r="K2" s="90"/>
      <c r="L2" s="90"/>
      <c r="M2" s="90"/>
      <c r="N2" s="90"/>
      <c r="O2" s="90"/>
      <c r="P2" s="39"/>
      <c r="Q2" s="153"/>
      <c r="R2" s="154"/>
      <c r="S2" s="15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87" t="s">
        <v>7</v>
      </c>
      <c r="B4" s="88"/>
      <c r="C4" s="88"/>
      <c r="D4" s="48"/>
      <c r="E4" s="76" t="s">
        <v>16</v>
      </c>
      <c r="F4" s="76"/>
      <c r="G4" s="76"/>
      <c r="H4" s="76"/>
      <c r="I4" s="76"/>
      <c r="J4" s="76"/>
      <c r="K4" s="76"/>
      <c r="L4" s="76"/>
      <c r="M4" s="76"/>
      <c r="N4" s="76"/>
      <c r="O4" s="77"/>
      <c r="P4" s="40"/>
      <c r="Q4" s="156" t="s">
        <v>8</v>
      </c>
      <c r="R4" s="156"/>
      <c r="S4" s="15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82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83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78" t="s">
        <v>0</v>
      </c>
      <c r="R7" s="78"/>
      <c r="S7" s="78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74" t="s">
        <v>9</v>
      </c>
      <c r="B8" s="75"/>
      <c r="C8" s="75"/>
      <c r="D8" s="50"/>
      <c r="E8" s="76" t="s">
        <v>17</v>
      </c>
      <c r="F8" s="76"/>
      <c r="G8" s="76"/>
      <c r="H8" s="76"/>
      <c r="I8" s="76"/>
      <c r="J8" s="76"/>
      <c r="K8" s="76"/>
      <c r="L8" s="76"/>
      <c r="M8" s="76"/>
      <c r="N8" s="76"/>
      <c r="O8" s="77"/>
      <c r="P8" s="40"/>
      <c r="Q8" s="79" t="s">
        <v>10</v>
      </c>
      <c r="R8" s="79"/>
      <c r="S8" s="79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40"/>
      <c r="P9" s="29"/>
      <c r="Q9" s="147">
        <v>12</v>
      </c>
      <c r="R9" s="148"/>
      <c r="S9" s="14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50" t="s">
        <v>4</v>
      </c>
      <c r="B11" s="151"/>
      <c r="C11" s="151"/>
      <c r="D11" s="151"/>
      <c r="E11" s="151"/>
      <c r="F11" s="151"/>
      <c r="G11" s="151"/>
      <c r="H11" s="151"/>
      <c r="I11" s="152"/>
      <c r="J11" s="15" t="s">
        <v>0</v>
      </c>
      <c r="K11" s="16"/>
      <c r="L11" s="15" t="s">
        <v>1</v>
      </c>
      <c r="M11" s="64"/>
      <c r="N11" s="63" t="s">
        <v>11</v>
      </c>
      <c r="O11" s="63" t="s">
        <v>12</v>
      </c>
      <c r="P11" s="67"/>
      <c r="Q11" s="157" t="s">
        <v>13</v>
      </c>
      <c r="R11" s="157"/>
      <c r="S11" s="15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41" t="s">
        <v>18</v>
      </c>
      <c r="B12" s="142"/>
      <c r="C12" s="142"/>
      <c r="D12" s="142"/>
      <c r="E12" s="142"/>
      <c r="F12" s="142"/>
      <c r="G12" s="142"/>
      <c r="H12" s="142"/>
      <c r="I12" s="143"/>
      <c r="J12" s="51">
        <v>7.44</v>
      </c>
      <c r="K12" s="17"/>
      <c r="L12" s="33" t="s">
        <v>19</v>
      </c>
      <c r="M12" s="18"/>
      <c r="N12" s="58">
        <f>IF(A12=0," ",(J12/$J$33)*4)</f>
        <v>4.96</v>
      </c>
      <c r="O12" s="58">
        <f>IF(A12=0," ",(J12/$J$33)*12)</f>
        <v>14.879999999999999</v>
      </c>
      <c r="P12" s="61"/>
      <c r="Q12" s="144">
        <f>IF(A12=0," ",(J12/$J$33)*$Q$9)</f>
        <v>14.879999999999999</v>
      </c>
      <c r="R12" s="145"/>
      <c r="S12" s="146"/>
      <c r="U12" s="9"/>
      <c r="V12" s="9"/>
    </row>
    <row r="13" spans="1:29" ht="12.75" customHeight="1">
      <c r="A13" s="71" t="s">
        <v>20</v>
      </c>
      <c r="B13" s="72"/>
      <c r="C13" s="72"/>
      <c r="D13" s="72"/>
      <c r="E13" s="72"/>
      <c r="F13" s="72"/>
      <c r="G13" s="72"/>
      <c r="H13" s="72"/>
      <c r="I13" s="73"/>
      <c r="J13" s="52">
        <v>0.36</v>
      </c>
      <c r="K13" s="53"/>
      <c r="L13" s="54" t="s">
        <v>19</v>
      </c>
      <c r="M13" s="55"/>
      <c r="N13" s="59">
        <f t="shared" ref="N13:N31" si="0">IF(A13=0," ",(J13/$J$33)*4)</f>
        <v>0.24</v>
      </c>
      <c r="O13" s="59">
        <f t="shared" ref="O13:O31" si="1">IF(A13=0," ",(J13/$J$33)*12)</f>
        <v>0.72</v>
      </c>
      <c r="P13" s="62"/>
      <c r="Q13" s="114">
        <f t="shared" ref="Q13:Q31" si="2">IF(A13=0," ",(J13/$J$33)*$Q$9)</f>
        <v>0.72</v>
      </c>
      <c r="R13" s="115"/>
      <c r="S13" s="116"/>
      <c r="U13" s="9"/>
      <c r="V13" s="9"/>
    </row>
    <row r="14" spans="1:29" ht="12.75" customHeight="1">
      <c r="A14" s="68" t="s">
        <v>21</v>
      </c>
      <c r="B14" s="69"/>
      <c r="C14" s="69"/>
      <c r="D14" s="69"/>
      <c r="E14" s="69"/>
      <c r="F14" s="69"/>
      <c r="G14" s="69"/>
      <c r="H14" s="69"/>
      <c r="I14" s="70"/>
      <c r="J14" s="51">
        <v>0.12</v>
      </c>
      <c r="K14" s="17"/>
      <c r="L14" s="34" t="s">
        <v>19</v>
      </c>
      <c r="M14" s="18"/>
      <c r="N14" s="58">
        <f t="shared" si="0"/>
        <v>0.08</v>
      </c>
      <c r="O14" s="58">
        <f t="shared" si="1"/>
        <v>0.24</v>
      </c>
      <c r="P14" s="61"/>
      <c r="Q14" s="117">
        <f t="shared" si="2"/>
        <v>0.24</v>
      </c>
      <c r="R14" s="118"/>
      <c r="S14" s="119"/>
      <c r="U14" s="9"/>
      <c r="V14" s="9"/>
    </row>
    <row r="15" spans="1:29" ht="12.75" customHeight="1">
      <c r="A15" s="71" t="s">
        <v>30</v>
      </c>
      <c r="B15" s="72"/>
      <c r="C15" s="72"/>
      <c r="D15" s="72"/>
      <c r="E15" s="72"/>
      <c r="F15" s="72"/>
      <c r="G15" s="72"/>
      <c r="H15" s="72"/>
      <c r="I15" s="73"/>
      <c r="J15" s="52">
        <v>0.08</v>
      </c>
      <c r="K15" s="53"/>
      <c r="L15" s="54" t="s">
        <v>19</v>
      </c>
      <c r="M15" s="56"/>
      <c r="N15" s="59">
        <f t="shared" si="0"/>
        <v>5.3333333333333337E-2</v>
      </c>
      <c r="O15" s="59">
        <f t="shared" si="1"/>
        <v>0.16</v>
      </c>
      <c r="P15" s="62"/>
      <c r="Q15" s="114">
        <f t="shared" si="2"/>
        <v>0.16</v>
      </c>
      <c r="R15" s="115"/>
      <c r="S15" s="116"/>
      <c r="U15" s="9"/>
      <c r="V15" s="9"/>
    </row>
    <row r="16" spans="1:29" ht="12.75" customHeight="1">
      <c r="A16" s="68" t="s">
        <v>22</v>
      </c>
      <c r="B16" s="69"/>
      <c r="C16" s="69"/>
      <c r="D16" s="69"/>
      <c r="E16" s="69"/>
      <c r="F16" s="69"/>
      <c r="G16" s="69"/>
      <c r="H16" s="69"/>
      <c r="I16" s="70"/>
      <c r="J16" s="51">
        <v>0.2</v>
      </c>
      <c r="K16" s="17"/>
      <c r="L16" s="34" t="s">
        <v>19</v>
      </c>
      <c r="M16" s="18"/>
      <c r="N16" s="58">
        <f t="shared" si="0"/>
        <v>0.13333333333333333</v>
      </c>
      <c r="O16" s="58">
        <f t="shared" si="1"/>
        <v>0.4</v>
      </c>
      <c r="P16" s="61"/>
      <c r="Q16" s="117">
        <f t="shared" si="2"/>
        <v>0.4</v>
      </c>
      <c r="R16" s="118"/>
      <c r="S16" s="119"/>
      <c r="U16" s="9"/>
      <c r="V16" s="9"/>
    </row>
    <row r="17" spans="1:23" ht="12.75" customHeight="1">
      <c r="A17" s="71" t="s">
        <v>23</v>
      </c>
      <c r="B17" s="72"/>
      <c r="C17" s="72"/>
      <c r="D17" s="72"/>
      <c r="E17" s="72"/>
      <c r="F17" s="72"/>
      <c r="G17" s="72"/>
      <c r="H17" s="72"/>
      <c r="I17" s="73"/>
      <c r="J17" s="52">
        <v>4</v>
      </c>
      <c r="K17" s="53"/>
      <c r="L17" s="54" t="s">
        <v>19</v>
      </c>
      <c r="M17" s="55"/>
      <c r="N17" s="59">
        <f t="shared" si="0"/>
        <v>2.6666666666666665</v>
      </c>
      <c r="O17" s="59">
        <f t="shared" si="1"/>
        <v>8</v>
      </c>
      <c r="P17" s="62"/>
      <c r="Q17" s="114">
        <f t="shared" si="2"/>
        <v>8</v>
      </c>
      <c r="R17" s="115"/>
      <c r="S17" s="116"/>
      <c r="U17" s="9"/>
      <c r="V17" s="9"/>
    </row>
    <row r="18" spans="1:23" ht="12.75" customHeight="1">
      <c r="A18" s="68" t="s">
        <v>24</v>
      </c>
      <c r="B18" s="69"/>
      <c r="C18" s="69"/>
      <c r="D18" s="69"/>
      <c r="E18" s="69"/>
      <c r="F18" s="69"/>
      <c r="G18" s="69"/>
      <c r="H18" s="69"/>
      <c r="I18" s="70"/>
      <c r="J18" s="51">
        <v>0.36</v>
      </c>
      <c r="K18" s="17"/>
      <c r="L18" s="34" t="s">
        <v>19</v>
      </c>
      <c r="M18" s="18"/>
      <c r="N18" s="58">
        <f t="shared" si="0"/>
        <v>0.24</v>
      </c>
      <c r="O18" s="58">
        <f t="shared" si="1"/>
        <v>0.72</v>
      </c>
      <c r="P18" s="61"/>
      <c r="Q18" s="117">
        <f t="shared" si="2"/>
        <v>0.72</v>
      </c>
      <c r="R18" s="118"/>
      <c r="S18" s="119"/>
      <c r="U18" s="9"/>
      <c r="V18" s="9"/>
    </row>
    <row r="19" spans="1:23" ht="12.75" customHeight="1">
      <c r="A19" s="71"/>
      <c r="B19" s="72"/>
      <c r="C19" s="72"/>
      <c r="D19" s="72"/>
      <c r="E19" s="72"/>
      <c r="F19" s="72"/>
      <c r="G19" s="72"/>
      <c r="H19" s="72"/>
      <c r="I19" s="73"/>
      <c r="J19" s="52"/>
      <c r="K19" s="53"/>
      <c r="L19" s="54"/>
      <c r="M19" s="55"/>
      <c r="N19" s="59" t="str">
        <f t="shared" si="0"/>
        <v xml:space="preserve"> </v>
      </c>
      <c r="O19" s="59" t="str">
        <f t="shared" si="1"/>
        <v xml:space="preserve"> </v>
      </c>
      <c r="P19" s="62"/>
      <c r="Q19" s="114" t="str">
        <f t="shared" si="2"/>
        <v xml:space="preserve"> </v>
      </c>
      <c r="R19" s="115"/>
      <c r="S19" s="116"/>
      <c r="U19" s="9"/>
      <c r="V19" s="9"/>
    </row>
    <row r="20" spans="1:23" ht="12.75" customHeight="1">
      <c r="A20" s="68"/>
      <c r="B20" s="69"/>
      <c r="C20" s="69"/>
      <c r="D20" s="69"/>
      <c r="E20" s="69"/>
      <c r="F20" s="69"/>
      <c r="G20" s="69"/>
      <c r="H20" s="69"/>
      <c r="I20" s="70"/>
      <c r="J20" s="51"/>
      <c r="K20" s="17"/>
      <c r="L20" s="34"/>
      <c r="M20" s="18"/>
      <c r="N20" s="58" t="str">
        <f t="shared" si="0"/>
        <v xml:space="preserve"> </v>
      </c>
      <c r="O20" s="58" t="str">
        <f t="shared" si="1"/>
        <v xml:space="preserve"> </v>
      </c>
      <c r="P20" s="61"/>
      <c r="Q20" s="117" t="str">
        <f t="shared" si="2"/>
        <v xml:space="preserve"> </v>
      </c>
      <c r="R20" s="118"/>
      <c r="S20" s="119"/>
      <c r="U20" s="9"/>
      <c r="V20" s="9"/>
    </row>
    <row r="21" spans="1:23" ht="12.75" customHeight="1">
      <c r="A21" s="71"/>
      <c r="B21" s="72"/>
      <c r="C21" s="72"/>
      <c r="D21" s="72"/>
      <c r="E21" s="72"/>
      <c r="F21" s="72"/>
      <c r="G21" s="72"/>
      <c r="H21" s="72"/>
      <c r="I21" s="73"/>
      <c r="J21" s="52"/>
      <c r="K21" s="53"/>
      <c r="L21" s="54"/>
      <c r="M21" s="55"/>
      <c r="N21" s="59" t="str">
        <f t="shared" si="0"/>
        <v xml:space="preserve"> </v>
      </c>
      <c r="O21" s="59" t="str">
        <f t="shared" si="1"/>
        <v xml:space="preserve"> </v>
      </c>
      <c r="P21" s="62"/>
      <c r="Q21" s="114" t="str">
        <f t="shared" si="2"/>
        <v xml:space="preserve"> </v>
      </c>
      <c r="R21" s="115"/>
      <c r="S21" s="116"/>
      <c r="U21" s="9"/>
      <c r="V21" s="9"/>
    </row>
    <row r="22" spans="1:23" ht="12.75" customHeight="1">
      <c r="A22" s="68"/>
      <c r="B22" s="69"/>
      <c r="C22" s="69"/>
      <c r="D22" s="69"/>
      <c r="E22" s="69"/>
      <c r="F22" s="69"/>
      <c r="G22" s="69"/>
      <c r="H22" s="69"/>
      <c r="I22" s="70"/>
      <c r="J22" s="51"/>
      <c r="K22" s="17"/>
      <c r="L22" s="34"/>
      <c r="M22" s="18"/>
      <c r="N22" s="58" t="str">
        <f t="shared" si="0"/>
        <v xml:space="preserve"> </v>
      </c>
      <c r="O22" s="58" t="str">
        <f t="shared" si="1"/>
        <v xml:space="preserve"> </v>
      </c>
      <c r="P22" s="61"/>
      <c r="Q22" s="117" t="str">
        <f t="shared" si="2"/>
        <v xml:space="preserve"> </v>
      </c>
      <c r="R22" s="118"/>
      <c r="S22" s="119"/>
      <c r="U22" s="9"/>
      <c r="V22" s="9"/>
      <c r="W22" s="9"/>
    </row>
    <row r="23" spans="1:23" ht="12.75" customHeight="1">
      <c r="A23" s="71"/>
      <c r="B23" s="72"/>
      <c r="C23" s="72"/>
      <c r="D23" s="72"/>
      <c r="E23" s="72"/>
      <c r="F23" s="72"/>
      <c r="G23" s="72"/>
      <c r="H23" s="72"/>
      <c r="I23" s="73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114" t="str">
        <f t="shared" si="2"/>
        <v xml:space="preserve"> </v>
      </c>
      <c r="R23" s="115"/>
      <c r="S23" s="116"/>
      <c r="U23" s="9"/>
      <c r="V23" s="9"/>
    </row>
    <row r="24" spans="1:23" ht="12.75" customHeight="1">
      <c r="A24" s="68"/>
      <c r="B24" s="69"/>
      <c r="C24" s="69"/>
      <c r="D24" s="69"/>
      <c r="E24" s="69"/>
      <c r="F24" s="69"/>
      <c r="G24" s="69"/>
      <c r="H24" s="69"/>
      <c r="I24" s="70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117" t="str">
        <f t="shared" si="2"/>
        <v xml:space="preserve"> </v>
      </c>
      <c r="R24" s="118"/>
      <c r="S24" s="119"/>
      <c r="U24" s="9"/>
      <c r="V24" s="9"/>
    </row>
    <row r="25" spans="1:23" ht="12.75" customHeight="1">
      <c r="A25" s="71"/>
      <c r="B25" s="72"/>
      <c r="C25" s="72"/>
      <c r="D25" s="72"/>
      <c r="E25" s="72"/>
      <c r="F25" s="72"/>
      <c r="G25" s="72"/>
      <c r="H25" s="72"/>
      <c r="I25" s="73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114" t="str">
        <f t="shared" si="2"/>
        <v xml:space="preserve"> </v>
      </c>
      <c r="R25" s="115"/>
      <c r="S25" s="116"/>
      <c r="U25" s="9"/>
      <c r="V25" s="9"/>
    </row>
    <row r="26" spans="1:23" ht="12.75" customHeight="1">
      <c r="A26" s="68"/>
      <c r="B26" s="69"/>
      <c r="C26" s="69"/>
      <c r="D26" s="69"/>
      <c r="E26" s="69"/>
      <c r="F26" s="69"/>
      <c r="G26" s="69"/>
      <c r="H26" s="69"/>
      <c r="I26" s="70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117" t="str">
        <f t="shared" si="2"/>
        <v xml:space="preserve"> </v>
      </c>
      <c r="R26" s="118"/>
      <c r="S26" s="119"/>
    </row>
    <row r="27" spans="1:23" ht="12.75" customHeight="1">
      <c r="A27" s="71"/>
      <c r="B27" s="72"/>
      <c r="C27" s="72"/>
      <c r="D27" s="72"/>
      <c r="E27" s="72"/>
      <c r="F27" s="72"/>
      <c r="G27" s="72"/>
      <c r="H27" s="72"/>
      <c r="I27" s="73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114" t="str">
        <f t="shared" si="2"/>
        <v xml:space="preserve"> </v>
      </c>
      <c r="R27" s="115"/>
      <c r="S27" s="116"/>
    </row>
    <row r="28" spans="1:23" ht="12.75" customHeight="1">
      <c r="A28" s="68"/>
      <c r="B28" s="69"/>
      <c r="C28" s="69"/>
      <c r="D28" s="69"/>
      <c r="E28" s="69"/>
      <c r="F28" s="69"/>
      <c r="G28" s="69"/>
      <c r="H28" s="69"/>
      <c r="I28" s="70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117" t="str">
        <f t="shared" si="2"/>
        <v xml:space="preserve"> </v>
      </c>
      <c r="R28" s="118"/>
      <c r="S28" s="119"/>
    </row>
    <row r="29" spans="1:23" ht="12.75" customHeight="1">
      <c r="A29" s="71"/>
      <c r="B29" s="72"/>
      <c r="C29" s="72"/>
      <c r="D29" s="72"/>
      <c r="E29" s="72"/>
      <c r="F29" s="72"/>
      <c r="G29" s="72"/>
      <c r="H29" s="72"/>
      <c r="I29" s="73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114" t="str">
        <f t="shared" si="2"/>
        <v xml:space="preserve"> </v>
      </c>
      <c r="R29" s="115"/>
      <c r="S29" s="116"/>
    </row>
    <row r="30" spans="1:23" ht="12.75" customHeight="1">
      <c r="A30" s="68"/>
      <c r="B30" s="69"/>
      <c r="C30" s="69"/>
      <c r="D30" s="69"/>
      <c r="E30" s="69"/>
      <c r="F30" s="69"/>
      <c r="G30" s="69"/>
      <c r="H30" s="69"/>
      <c r="I30" s="70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117" t="str">
        <f t="shared" si="2"/>
        <v xml:space="preserve"> </v>
      </c>
      <c r="R30" s="118"/>
      <c r="S30" s="119"/>
    </row>
    <row r="31" spans="1:23" ht="12.75" customHeight="1">
      <c r="A31" s="127"/>
      <c r="B31" s="128"/>
      <c r="C31" s="128"/>
      <c r="D31" s="128"/>
      <c r="E31" s="128"/>
      <c r="F31" s="128"/>
      <c r="G31" s="128"/>
      <c r="H31" s="128"/>
      <c r="I31" s="129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3" t="str">
        <f t="shared" si="2"/>
        <v xml:space="preserve"> </v>
      </c>
      <c r="R31" s="124"/>
      <c r="S31" s="125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161" t="s">
        <v>14</v>
      </c>
      <c r="B33" s="162"/>
      <c r="C33" s="162"/>
      <c r="D33" s="162"/>
      <c r="E33" s="162"/>
      <c r="F33" s="162"/>
      <c r="G33" s="162"/>
      <c r="H33" s="162"/>
      <c r="I33" s="163"/>
      <c r="J33" s="158">
        <v>6</v>
      </c>
      <c r="K33" s="159"/>
      <c r="L33" s="160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20" t="s">
        <v>2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2"/>
    </row>
    <row r="37" spans="1:19" s="10" customFormat="1" ht="4.5" customHeight="1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</row>
    <row r="38" spans="1:19" ht="11.45" customHeight="1">
      <c r="A38" s="131" t="s">
        <v>25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3"/>
    </row>
    <row r="39" spans="1:19" ht="11.45" customHeight="1">
      <c r="A39" s="91" t="s">
        <v>26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126"/>
    </row>
    <row r="40" spans="1:19" ht="11.45" customHeight="1">
      <c r="A40" s="91" t="s">
        <v>27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126"/>
    </row>
    <row r="41" spans="1:19" ht="11.45" customHeight="1">
      <c r="A41" s="91" t="s">
        <v>28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126"/>
    </row>
    <row r="42" spans="1:19" ht="11.45" customHeight="1">
      <c r="A42" s="91" t="s">
        <v>29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126"/>
    </row>
    <row r="43" spans="1:19" ht="11.45" customHeight="1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126"/>
    </row>
    <row r="44" spans="1:19" ht="11.45" customHeight="1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126"/>
    </row>
    <row r="45" spans="1:19" ht="11.45" customHeight="1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126"/>
    </row>
    <row r="46" spans="1:19" ht="11.45" customHeight="1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126"/>
    </row>
    <row r="47" spans="1:19" ht="11.45" customHeight="1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13"/>
      <c r="M47" s="113"/>
      <c r="N47" s="113"/>
      <c r="O47" s="113"/>
      <c r="P47" s="113"/>
      <c r="Q47" s="113"/>
      <c r="R47" s="113"/>
      <c r="S47" s="130"/>
    </row>
    <row r="48" spans="1:19" ht="11.45" customHeight="1" thickBot="1">
      <c r="A48" s="108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5" t="s">
        <v>5</v>
      </c>
      <c r="M48" s="106"/>
      <c r="N48" s="106"/>
      <c r="O48" s="106"/>
      <c r="P48" s="106"/>
      <c r="Q48" s="106"/>
      <c r="R48" s="106"/>
      <c r="S48" s="13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20" t="s">
        <v>3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2"/>
    </row>
    <row r="51" spans="1:21" s="10" customFormat="1" ht="4.5" customHeight="1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7"/>
    </row>
    <row r="52" spans="1:21" ht="11.2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3"/>
    </row>
    <row r="53" spans="1:21" ht="13.5" thickBot="1">
      <c r="A53" s="91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126"/>
    </row>
    <row r="54" spans="1:21" ht="11.25" customHeight="1">
      <c r="A54" s="9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3" t="str">
        <f>IF(Q1=0, " ", Q1)</f>
        <v xml:space="preserve"> </v>
      </c>
      <c r="S54" s="94"/>
    </row>
    <row r="55" spans="1:21" ht="11.2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5"/>
      <c r="S55" s="96"/>
    </row>
    <row r="56" spans="1:21" ht="11.25" customHeight="1" thickBot="1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7"/>
      <c r="S56" s="98"/>
    </row>
    <row r="57" spans="1:21" ht="11.25" customHeight="1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9" t="str">
        <f>IF(Q2=0, " ", Q2)</f>
        <v xml:space="preserve"> </v>
      </c>
      <c r="S57" s="100"/>
    </row>
    <row r="58" spans="1:21" ht="11.25" customHeight="1">
      <c r="A58" s="110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2"/>
      <c r="R58" s="101"/>
      <c r="S58" s="102"/>
      <c r="T58" s="10"/>
      <c r="U58" s="10"/>
    </row>
    <row r="59" spans="1:21" ht="11.2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13"/>
      <c r="M59" s="113"/>
      <c r="N59" s="113"/>
      <c r="O59" s="113"/>
      <c r="P59" s="113"/>
      <c r="Q59" s="113"/>
      <c r="R59" s="101"/>
      <c r="S59" s="102"/>
    </row>
    <row r="60" spans="1:21" ht="11.25" customHeight="1" thickBot="1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5" t="s">
        <v>6</v>
      </c>
      <c r="M60" s="106"/>
      <c r="N60" s="106"/>
      <c r="O60" s="106"/>
      <c r="P60" s="106"/>
      <c r="Q60" s="107"/>
      <c r="R60" s="103"/>
      <c r="S60" s="104"/>
    </row>
    <row r="61" spans="1:21" ht="11.25" customHeight="1"/>
  </sheetData>
  <sheetProtection sheet="1" objects="1" scenarios="1"/>
  <mergeCells count="89"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1:S1"/>
    <mergeCell ref="Q2:S2"/>
    <mergeCell ref="Q4:S4"/>
    <mergeCell ref="Q17:S17"/>
    <mergeCell ref="Q11:S11"/>
    <mergeCell ref="Q13:S13"/>
    <mergeCell ref="Q14:S14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15:I15"/>
    <mergeCell ref="A53:S53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Q31:S31"/>
    <mergeCell ref="A41:S41"/>
    <mergeCell ref="A30:I30"/>
    <mergeCell ref="A31:I31"/>
    <mergeCell ref="A46:S46"/>
    <mergeCell ref="A47:S47"/>
    <mergeCell ref="A42:S42"/>
    <mergeCell ref="A40:S40"/>
    <mergeCell ref="A59:Q59"/>
    <mergeCell ref="A54:Q54"/>
    <mergeCell ref="Q27:S27"/>
    <mergeCell ref="Q28:S28"/>
    <mergeCell ref="Q19:S19"/>
    <mergeCell ref="Q22:S22"/>
    <mergeCell ref="Q20:S20"/>
    <mergeCell ref="Q23:S23"/>
    <mergeCell ref="A36:S36"/>
    <mergeCell ref="Q30:S30"/>
    <mergeCell ref="G1:O1"/>
    <mergeCell ref="G2:O2"/>
    <mergeCell ref="A55:Q55"/>
    <mergeCell ref="A56:Q56"/>
    <mergeCell ref="A57:Q57"/>
    <mergeCell ref="R54:S56"/>
    <mergeCell ref="R57:S60"/>
    <mergeCell ref="L60:Q60"/>
    <mergeCell ref="A60:K60"/>
    <mergeCell ref="A58:Q58"/>
    <mergeCell ref="A8:C8"/>
    <mergeCell ref="E8:O8"/>
    <mergeCell ref="Q7:S7"/>
    <mergeCell ref="Q8:S8"/>
    <mergeCell ref="D1:E1"/>
    <mergeCell ref="D2:E2"/>
    <mergeCell ref="A5:O5"/>
    <mergeCell ref="A6:O6"/>
    <mergeCell ref="E4:O4"/>
    <mergeCell ref="A4:C4"/>
    <mergeCell ref="A16:I16"/>
    <mergeCell ref="A17:I17"/>
    <mergeCell ref="A18:I18"/>
    <mergeCell ref="A21:I21"/>
    <mergeCell ref="A19:I19"/>
    <mergeCell ref="A20:I20"/>
    <mergeCell ref="A22:I22"/>
    <mergeCell ref="A23:I23"/>
    <mergeCell ref="A24:I24"/>
    <mergeCell ref="A29:I29"/>
    <mergeCell ref="A25:I25"/>
    <mergeCell ref="A26:I26"/>
    <mergeCell ref="A27:I27"/>
    <mergeCell ref="A28:I2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2011-07-23T17:19:20Z</cp:lastPrinted>
  <dcterms:created xsi:type="dcterms:W3CDTF">2000-10-24T15:57:25Z</dcterms:created>
  <dcterms:modified xsi:type="dcterms:W3CDTF">2011-07-23T17:19:31Z</dcterms:modified>
</cp:coreProperties>
</file>