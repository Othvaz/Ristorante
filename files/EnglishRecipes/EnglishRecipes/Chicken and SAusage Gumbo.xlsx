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<sst xmlns="http://schemas.openxmlformats.org/spreadsheetml/2006/main" count="70" uniqueCount="59">
  <si>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</si>
  <si>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</si>
  <si>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</si>
  <si>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</si>
  <si>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</si>
  <si>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</si>
  <si>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</si>
  <si>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</si>
  <si>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</si>
  <si>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</si>
  <si>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</si>
  <si>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</si>
  <si>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</si>
  <si>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</si>
  <si>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</si>
  <si>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</si>
  <si>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</si>
  <si>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</si>
  <si>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</si>
  <si>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</si>
  <si>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</si>
  <si>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</si>
  <si>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</si>
  <si>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</si>
  <si>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</si>
  <si>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</si>
  <si>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</si>
  <si>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</si>
  <si>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</si>
  <si>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</si>
  <si>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</si>
  <si>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</si>
  <si>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</si>
  <si>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</si>
  <si>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</si>
  <si>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</si>
  <si>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Chicken and Sausage Gumbo</t>
  </si>
  <si>
    <t>foodnetwork.com</t>
  </si>
  <si>
    <t>Veg oil</t>
  </si>
  <si>
    <t>Smoked Sausage</t>
  </si>
  <si>
    <t>Chicken Thighs</t>
  </si>
  <si>
    <t>Creole Seasoning</t>
  </si>
  <si>
    <t>AP Flour</t>
  </si>
  <si>
    <t>Onion</t>
  </si>
  <si>
    <t>Celery</t>
  </si>
  <si>
    <t>Grn Peppers</t>
  </si>
  <si>
    <t>salt</t>
  </si>
  <si>
    <t>Cayenne Pepper</t>
  </si>
  <si>
    <t>Bay Leaves</t>
  </si>
  <si>
    <t>Chicken Stock</t>
  </si>
  <si>
    <t>Green Onion</t>
  </si>
  <si>
    <t>Parsley -chopped</t>
  </si>
  <si>
    <t>File Powder -sub corn starch if we don't have</t>
  </si>
  <si>
    <t xml:space="preserve">Put some of the oil in skillet,  Add the sausage and cook until well browned, about 8 minutes. Remove the sausage with a slotted spoon and drain on paper towels. Set aside.
Season the chicken with the Creole seasoning and cook until well browned, 5 to 6 minutes. Remove the chicken from the pan, let cool, and then refrigerate until ready to use.
Combine the remaining  oil and the flour in skillet and make a roux
Add the onions, celery, and bell peppers and cook, stirring, until wilted, 4 to 5 minutes. Add the reserved sausage, salt, cayenne, and bay leaves, stir, and cook for 2 minutes. Stirring, slowly add the chicken stock, and cook, stirring, until well combined. Bring the mixture to a boil. Reduce the heat to medium-low and cook, uncovered and stirring occasionally, for 1 hour.
Shred chicken and add to skillet and simmer for 1 1/2 hours, skimming off any fat that rises to the surface.
Turn off heat. Remove and discard the bay leaves. and stir in the green onions, parsley, and file powder.
</t>
  </si>
  <si>
    <t>c</t>
  </si>
  <si>
    <t>lbs</t>
  </si>
  <si>
    <t>T</t>
  </si>
  <si>
    <t>t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</si>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</sst>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7" zoomScaleNormal="100" zoomScaleSheetLayoutView="110" workbookViewId="0">
      <selection activeCell="O27" sqref="O27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 t="s">
        <v>37</v>
      </c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110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38</v>
      </c>
      <c r="D12" s="140"/>
      <c r="E12" s="140"/>
      <c r="F12" s="140"/>
      <c r="G12" s="140"/>
      <c r="H12" s="140"/>
      <c r="I12" s="141"/>
      <c r="J12" s="56">
        <v>0.5</v>
      </c>
      <c r="K12" s="15"/>
      <c r="L12" s="33" t="s">
        <v>54</v>
      </c>
      <c r="M12" s="16"/>
      <c r="N12" s="29">
        <f t="shared" ref="N12:N31" si="0">IF(C12=0," ",(J12/$J$33)*50)</f>
        <v>1.25</v>
      </c>
      <c r="O12" s="30">
        <f t="shared" ref="O12:O31" si="1">IF(C12=0," ",(J12/$J$33)*75)</f>
        <v>1.875</v>
      </c>
      <c r="P12" s="30"/>
      <c r="Q12" s="86">
        <f t="shared" ref="Q12:Q31" si="2">IF(C12=0," ",(J12/$J$33)*$Q$9)</f>
        <v>2.75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39</v>
      </c>
      <c r="D13" s="103"/>
      <c r="E13" s="103"/>
      <c r="F13" s="103"/>
      <c r="G13" s="103"/>
      <c r="H13" s="103"/>
      <c r="I13" s="104"/>
      <c r="J13" s="63">
        <v>1</v>
      </c>
      <c r="K13" s="64"/>
      <c r="L13" s="70" t="s">
        <v>55</v>
      </c>
      <c r="M13" s="65"/>
      <c r="N13" s="66">
        <f t="shared" si="0"/>
        <v>2.5</v>
      </c>
      <c r="O13" s="67">
        <f t="shared" si="1"/>
        <v>3.75</v>
      </c>
      <c r="P13" s="67"/>
      <c r="Q13" s="84">
        <f>IF(C13=0," ",(J13/$J$33)*$Q$9)</f>
        <v>5.5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40</v>
      </c>
      <c r="D14" s="105"/>
      <c r="E14" s="105"/>
      <c r="F14" s="105"/>
      <c r="G14" s="105"/>
      <c r="H14" s="105"/>
      <c r="I14" s="106"/>
      <c r="J14" s="56">
        <v>4</v>
      </c>
      <c r="K14" s="15"/>
      <c r="L14" s="34" t="s">
        <v>55</v>
      </c>
      <c r="M14" s="16"/>
      <c r="N14" s="29">
        <f t="shared" si="0"/>
        <v>10</v>
      </c>
      <c r="O14" s="30">
        <f t="shared" si="1"/>
        <v>15</v>
      </c>
      <c r="P14" s="30"/>
      <c r="Q14" s="86">
        <f>IF(C14=0," ",(J14/$J$33)*$Q$9)</f>
        <v>22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41</v>
      </c>
      <c r="D15" s="103"/>
      <c r="E15" s="103"/>
      <c r="F15" s="103"/>
      <c r="G15" s="103"/>
      <c r="H15" s="103"/>
      <c r="I15" s="104"/>
      <c r="J15" s="63">
        <v>1</v>
      </c>
      <c r="K15" s="64"/>
      <c r="L15" s="70" t="s">
        <v>56</v>
      </c>
      <c r="M15" s="71"/>
      <c r="N15" s="66">
        <f t="shared" si="0"/>
        <v>2.5</v>
      </c>
      <c r="O15" s="67">
        <f t="shared" si="1"/>
        <v>3.75</v>
      </c>
      <c r="P15" s="67"/>
      <c r="Q15" s="84">
        <f>IF(C15=0," ",(J15/$J$33)*$Q$9)</f>
        <v>5.5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42</v>
      </c>
      <c r="D16" s="105"/>
      <c r="E16" s="105"/>
      <c r="F16" s="105"/>
      <c r="G16" s="105"/>
      <c r="H16" s="105"/>
      <c r="I16" s="106"/>
      <c r="J16" s="56">
        <v>1</v>
      </c>
      <c r="K16" s="15"/>
      <c r="L16" s="34" t="s">
        <v>54</v>
      </c>
      <c r="M16" s="16"/>
      <c r="N16" s="29">
        <f t="shared" si="0"/>
        <v>2.5</v>
      </c>
      <c r="O16" s="30">
        <f t="shared" si="1"/>
        <v>3.75</v>
      </c>
      <c r="P16" s="30"/>
      <c r="Q16" s="86">
        <f t="shared" si="2"/>
        <v>5.5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 t="s">
        <v>43</v>
      </c>
      <c r="D17" s="103"/>
      <c r="E17" s="103"/>
      <c r="F17" s="103"/>
      <c r="G17" s="103"/>
      <c r="H17" s="103"/>
      <c r="I17" s="104"/>
      <c r="J17" s="63">
        <v>2</v>
      </c>
      <c r="K17" s="64"/>
      <c r="L17" s="70" t="s">
        <v>54</v>
      </c>
      <c r="M17" s="65"/>
      <c r="N17" s="66">
        <f t="shared" si="0"/>
        <v>5</v>
      </c>
      <c r="O17" s="67">
        <f t="shared" si="1"/>
        <v>7.5</v>
      </c>
      <c r="P17" s="67"/>
      <c r="Q17" s="84">
        <f>IF(C17=0," ",(J17/$J$33)*$Q$9)</f>
        <v>11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 t="s">
        <v>44</v>
      </c>
      <c r="D18" s="105"/>
      <c r="E18" s="105"/>
      <c r="F18" s="105"/>
      <c r="G18" s="105"/>
      <c r="H18" s="105"/>
      <c r="I18" s="106"/>
      <c r="J18" s="56">
        <v>1</v>
      </c>
      <c r="K18" s="15"/>
      <c r="L18" s="34" t="s">
        <v>54</v>
      </c>
      <c r="M18" s="16"/>
      <c r="N18" s="29">
        <f t="shared" si="0"/>
        <v>2.5</v>
      </c>
      <c r="O18" s="30">
        <f t="shared" si="1"/>
        <v>3.75</v>
      </c>
      <c r="P18" s="30"/>
      <c r="Q18" s="86">
        <f t="shared" si="2"/>
        <v>5.5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 t="s">
        <v>45</v>
      </c>
      <c r="D19" s="103"/>
      <c r="E19" s="103"/>
      <c r="F19" s="103"/>
      <c r="G19" s="103"/>
      <c r="H19" s="103"/>
      <c r="I19" s="104"/>
      <c r="J19" s="63">
        <v>1</v>
      </c>
      <c r="K19" s="64"/>
      <c r="L19" s="70" t="s">
        <v>54</v>
      </c>
      <c r="M19" s="65"/>
      <c r="N19" s="66">
        <f t="shared" si="0"/>
        <v>2.5</v>
      </c>
      <c r="O19" s="67">
        <f t="shared" si="1"/>
        <v>3.75</v>
      </c>
      <c r="P19" s="67"/>
      <c r="Q19" s="84">
        <f t="shared" ref="Q19" si="3">IF(C19=0," ",(J19/$J$33)*$Q$9)</f>
        <v>5.5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 t="s">
        <v>46</v>
      </c>
      <c r="D20" s="105"/>
      <c r="E20" s="105"/>
      <c r="F20" s="105"/>
      <c r="G20" s="105"/>
      <c r="H20" s="105"/>
      <c r="I20" s="106"/>
      <c r="J20" s="56">
        <v>1</v>
      </c>
      <c r="K20" s="15"/>
      <c r="L20" s="34" t="s">
        <v>57</v>
      </c>
      <c r="M20" s="16"/>
      <c r="N20" s="29">
        <f t="shared" si="0"/>
        <v>2.5</v>
      </c>
      <c r="O20" s="30">
        <f t="shared" si="1"/>
        <v>3.75</v>
      </c>
      <c r="P20" s="30"/>
      <c r="Q20" s="86">
        <f>IF(C20=0," ",(J20/$J$33)*$Q$9)</f>
        <v>5.5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 t="s">
        <v>47</v>
      </c>
      <c r="D21" s="103"/>
      <c r="E21" s="103"/>
      <c r="F21" s="103"/>
      <c r="G21" s="103"/>
      <c r="H21" s="103"/>
      <c r="I21" s="104"/>
      <c r="J21" s="63">
        <v>0.25</v>
      </c>
      <c r="K21" s="64"/>
      <c r="L21" s="70" t="s">
        <v>57</v>
      </c>
      <c r="M21" s="65"/>
      <c r="N21" s="66">
        <f t="shared" si="0"/>
        <v>0.625</v>
      </c>
      <c r="O21" s="67">
        <f t="shared" si="1"/>
        <v>0.9375</v>
      </c>
      <c r="P21" s="67"/>
      <c r="Q21" s="84">
        <f t="shared" si="2"/>
        <v>1.375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 t="s">
        <v>48</v>
      </c>
      <c r="D22" s="105"/>
      <c r="E22" s="105"/>
      <c r="F22" s="105"/>
      <c r="G22" s="105"/>
      <c r="H22" s="105"/>
      <c r="I22" s="106"/>
      <c r="J22" s="56">
        <v>3</v>
      </c>
      <c r="K22" s="15"/>
      <c r="L22" s="34" t="s">
        <v>58</v>
      </c>
      <c r="M22" s="16"/>
      <c r="N22" s="29">
        <f t="shared" si="0"/>
        <v>7.5</v>
      </c>
      <c r="O22" s="30">
        <f t="shared" si="1"/>
        <v>11.25</v>
      </c>
      <c r="P22" s="30"/>
      <c r="Q22" s="86">
        <f t="shared" si="2"/>
        <v>16.5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3" t="s">
        <v>49</v>
      </c>
      <c r="D23" s="103"/>
      <c r="E23" s="103"/>
      <c r="F23" s="103"/>
      <c r="G23" s="103"/>
      <c r="H23" s="103"/>
      <c r="I23" s="104"/>
      <c r="J23" s="63">
        <v>9</v>
      </c>
      <c r="K23" s="64"/>
      <c r="L23" s="70" t="s">
        <v>54</v>
      </c>
      <c r="M23" s="65"/>
      <c r="N23" s="66">
        <f t="shared" si="0"/>
        <v>22.5</v>
      </c>
      <c r="O23" s="67">
        <f t="shared" si="1"/>
        <v>33.75</v>
      </c>
      <c r="P23" s="67"/>
      <c r="Q23" s="84">
        <f>IF(C23=0," ",(J23/$J$33)*$Q$9)</f>
        <v>49.5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 t="s">
        <v>50</v>
      </c>
      <c r="D24" s="105"/>
      <c r="E24" s="105"/>
      <c r="F24" s="105"/>
      <c r="G24" s="105"/>
      <c r="H24" s="105"/>
      <c r="I24" s="106"/>
      <c r="J24" s="56">
        <v>0.5</v>
      </c>
      <c r="K24" s="15"/>
      <c r="L24" s="34" t="s">
        <v>54</v>
      </c>
      <c r="M24" s="16"/>
      <c r="N24" s="29">
        <f t="shared" si="0"/>
        <v>1.25</v>
      </c>
      <c r="O24" s="30">
        <f t="shared" si="1"/>
        <v>1.875</v>
      </c>
      <c r="P24" s="30"/>
      <c r="Q24" s="86">
        <f t="shared" si="2"/>
        <v>2.75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 t="s">
        <v>51</v>
      </c>
      <c r="D25" s="103"/>
      <c r="E25" s="103"/>
      <c r="F25" s="103"/>
      <c r="G25" s="103"/>
      <c r="H25" s="103"/>
      <c r="I25" s="104"/>
      <c r="J25" s="63">
        <v>2</v>
      </c>
      <c r="K25" s="64"/>
      <c r="L25" s="70" t="s">
        <v>56</v>
      </c>
      <c r="M25" s="65"/>
      <c r="N25" s="66">
        <f t="shared" si="0"/>
        <v>5</v>
      </c>
      <c r="O25" s="67">
        <f t="shared" si="1"/>
        <v>7.5</v>
      </c>
      <c r="P25" s="67"/>
      <c r="Q25" s="84">
        <f t="shared" si="2"/>
        <v>11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 t="s">
        <v>52</v>
      </c>
      <c r="D26" s="105"/>
      <c r="E26" s="105"/>
      <c r="F26" s="105"/>
      <c r="G26" s="105"/>
      <c r="H26" s="105"/>
      <c r="I26" s="106"/>
      <c r="J26" s="56">
        <v>1</v>
      </c>
      <c r="K26" s="15"/>
      <c r="L26" s="34" t="s">
        <v>56</v>
      </c>
      <c r="M26" s="16"/>
      <c r="N26" s="29">
        <f t="shared" si="0"/>
        <v>2.5</v>
      </c>
      <c r="O26" s="30">
        <f t="shared" si="1"/>
        <v>3.75</v>
      </c>
      <c r="P26" s="30"/>
      <c r="Q26" s="86">
        <f t="shared" si="2"/>
        <v>5.5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20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53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2012-08-08T01:03:53Z</dcterms:modified>
</cp:coreProperties>
</file>