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<sst xmlns="http://schemas.openxmlformats.org/spreadsheetml/2006/main" count="57" uniqueCount="51">
  <si>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</si>
  <si>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</si>
  <si>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</si>
  <si>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</si>
  <si>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</si>
  <si>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</si>
  <si>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</si>
  <si>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</si>
  <si>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</si>
  <si>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</si>
  <si>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</si>
  <si>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</si>
  <si>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</si>
  <si>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</si>
  <si>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</si>
  <si>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</si>
  <si>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</si>
  <si>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</si>
  <si>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</si>
  <si>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</si>
  <si>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</si>
  <si>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</si>
  <si>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</si>
  <si>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</si>
  <si>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</si>
  <si>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</si>
  <si>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</si>
  <si>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</si>
  <si>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</si>
  <si>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</si>
  <si>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</si>
  <si>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</si>
  <si>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</si>
  <si>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</si>
  <si>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</si>
  <si>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</si>
  <si>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Sausage Rolls</t>
  </si>
  <si>
    <t>Pork sausage (bulk)</t>
  </si>
  <si>
    <t>onion -finely chopped</t>
  </si>
  <si>
    <t>Chives -minced</t>
  </si>
  <si>
    <t>Basil</t>
  </si>
  <si>
    <t>Garlic cloves -minced</t>
  </si>
  <si>
    <t>paprika</t>
  </si>
  <si>
    <t xml:space="preserve">salt </t>
  </si>
  <si>
    <t>pepper</t>
  </si>
  <si>
    <t>Puff pastry</t>
  </si>
  <si>
    <t>#</t>
  </si>
  <si>
    <t>ct</t>
  </si>
  <si>
    <t>t</t>
  </si>
  <si>
    <t>oz</t>
  </si>
  <si>
    <t xml:space="preserve">In a large bowl, combine the sausage, onion, chives, basil, garlic, 3/4 of the paprika, salt and pepper. Unfold pastry onto a lightly floured surface. Roll each pastry sheet into an 11-in. x 10-1/2-in. rectangle. Cut widthwise into 3-1/2-in. strips.
Spread 1/2 cup of sausage mixture down the center of each strip. Fold pastry over and press edges together to seal. Cut each roll into six pieces.
Place seam side down on a rack in a shallow baking pan. Sprinkle with remaining paprika. Bake at 350° for 20-25 minutes or until golden brown. 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</si>
</sst>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zoomScaleNormal="100" zoomScaleSheetLayoutView="110" workbookViewId="0">
      <selection activeCell="C18" sqref="C18:I18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70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1.25</v>
      </c>
      <c r="K12" s="15"/>
      <c r="L12" s="33" t="s">
        <v>46</v>
      </c>
      <c r="M12" s="16"/>
      <c r="N12" s="29">
        <f t="shared" ref="N12:N31" si="0">IF(C12=0," ",(J12/$J$33)*50)</f>
        <v>5.2083333333333339</v>
      </c>
      <c r="O12" s="30">
        <f t="shared" ref="O12:O31" si="1">IF(C12=0," ",(J12/$J$33)*75)</f>
        <v>7.8125</v>
      </c>
      <c r="P12" s="30"/>
      <c r="Q12" s="82">
        <f t="shared" ref="Q12:Q31" si="2">IF(C12=0," ",(J12/$J$33)*$Q$9)</f>
        <v>7.291666666666667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1</v>
      </c>
      <c r="K13" s="64"/>
      <c r="L13" s="70" t="s">
        <v>47</v>
      </c>
      <c r="M13" s="65"/>
      <c r="N13" s="66">
        <f t="shared" si="0"/>
        <v>4.1666666666666661</v>
      </c>
      <c r="O13" s="67">
        <f t="shared" si="1"/>
        <v>6.25</v>
      </c>
      <c r="P13" s="67"/>
      <c r="Q13" s="78">
        <f>IF(C13=0," ",(J13/$J$33)*$Q$9)</f>
        <v>5.833333333333333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2</v>
      </c>
      <c r="K14" s="15"/>
      <c r="L14" s="34" t="s">
        <v>47</v>
      </c>
      <c r="M14" s="16"/>
      <c r="N14" s="29">
        <f t="shared" si="0"/>
        <v>8.3333333333333321</v>
      </c>
      <c r="O14" s="30">
        <f t="shared" si="1"/>
        <v>12.5</v>
      </c>
      <c r="P14" s="30"/>
      <c r="Q14" s="82">
        <f>IF(C14=0," ",(J14/$J$33)*$Q$9)</f>
        <v>11.666666666666666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0.5</v>
      </c>
      <c r="K15" s="64"/>
      <c r="L15" s="70" t="s">
        <v>48</v>
      </c>
      <c r="M15" s="71"/>
      <c r="N15" s="66">
        <f t="shared" si="0"/>
        <v>2.083333333333333</v>
      </c>
      <c r="O15" s="67">
        <f t="shared" si="1"/>
        <v>3.125</v>
      </c>
      <c r="P15" s="67"/>
      <c r="Q15" s="78">
        <f>IF(C15=0," ",(J15/$J$33)*$Q$9)</f>
        <v>2.9166666666666665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v>2</v>
      </c>
      <c r="K16" s="15"/>
      <c r="L16" s="34" t="s">
        <v>47</v>
      </c>
      <c r="M16" s="16"/>
      <c r="N16" s="29">
        <f t="shared" si="0"/>
        <v>8.3333333333333321</v>
      </c>
      <c r="O16" s="30">
        <f t="shared" si="1"/>
        <v>12.5</v>
      </c>
      <c r="P16" s="30"/>
      <c r="Q16" s="82">
        <f t="shared" si="2"/>
        <v>11.666666666666666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1</v>
      </c>
      <c r="K17" s="64"/>
      <c r="L17" s="70" t="s">
        <v>48</v>
      </c>
      <c r="M17" s="65"/>
      <c r="N17" s="66">
        <f t="shared" si="0"/>
        <v>4.1666666666666661</v>
      </c>
      <c r="O17" s="67">
        <f t="shared" si="1"/>
        <v>6.25</v>
      </c>
      <c r="P17" s="67"/>
      <c r="Q17" s="78">
        <f>IF(C17=0," ",(J17/$J$33)*$Q$9)</f>
        <v>5.833333333333333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 t="s">
        <v>43</v>
      </c>
      <c r="D18" s="80"/>
      <c r="E18" s="80"/>
      <c r="F18" s="80"/>
      <c r="G18" s="80"/>
      <c r="H18" s="80"/>
      <c r="I18" s="81"/>
      <c r="J18" s="56">
        <v>0.5</v>
      </c>
      <c r="K18" s="15"/>
      <c r="L18" s="34" t="s">
        <v>48</v>
      </c>
      <c r="M18" s="16"/>
      <c r="N18" s="29">
        <f t="shared" si="0"/>
        <v>2.083333333333333</v>
      </c>
      <c r="O18" s="30">
        <f t="shared" si="1"/>
        <v>3.125</v>
      </c>
      <c r="P18" s="30"/>
      <c r="Q18" s="82">
        <f t="shared" si="2"/>
        <v>2.9166666666666665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 t="s">
        <v>44</v>
      </c>
      <c r="D19" s="109"/>
      <c r="E19" s="109"/>
      <c r="F19" s="109"/>
      <c r="G19" s="109"/>
      <c r="H19" s="109"/>
      <c r="I19" s="110"/>
      <c r="J19" s="63">
        <v>0.25</v>
      </c>
      <c r="K19" s="64"/>
      <c r="L19" s="70" t="s">
        <v>48</v>
      </c>
      <c r="M19" s="65"/>
      <c r="N19" s="66">
        <f t="shared" si="0"/>
        <v>1.0416666666666665</v>
      </c>
      <c r="O19" s="67">
        <f t="shared" si="1"/>
        <v>1.5625</v>
      </c>
      <c r="P19" s="67"/>
      <c r="Q19" s="78">
        <f t="shared" ref="Q19" si="3">IF(C19=0," ",(J19/$J$33)*$Q$9)</f>
        <v>1.4583333333333333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 t="s">
        <v>45</v>
      </c>
      <c r="D20" s="80"/>
      <c r="E20" s="80"/>
      <c r="F20" s="80"/>
      <c r="G20" s="80"/>
      <c r="H20" s="80"/>
      <c r="I20" s="81"/>
      <c r="J20" s="56">
        <v>17.3</v>
      </c>
      <c r="K20" s="15"/>
      <c r="L20" s="34" t="s">
        <v>49</v>
      </c>
      <c r="M20" s="16"/>
      <c r="N20" s="29">
        <f t="shared" si="0"/>
        <v>72.083333333333329</v>
      </c>
      <c r="O20" s="30">
        <f t="shared" si="1"/>
        <v>108.125</v>
      </c>
      <c r="P20" s="30"/>
      <c r="Q20" s="82">
        <f>IF(C20=0," ",(J20/$J$33)*$Q$9)</f>
        <v>100.91666666666667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12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50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2011-07-20T21:13:06Z</cp:lastPrinted>
  <dcterms:created xsi:type="dcterms:W3CDTF">2000-10-24T15:57:25Z</dcterms:created>
  <dcterms:modified xsi:type="dcterms:W3CDTF">2011-07-20T21:13:29Z</dcterms:modified>
</cp:coreProperties>
</file>