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W:\Public\Recipes\English Recipes\"/>
    </mc:Choice>
  </mc:AlternateContent>
  <bookViews>
    <workbookView xWindow="0" yWindow="0" windowWidth="10560" windowHeight="7515"/>
  </bookViews>
  <sheets>
    <sheet name="recipe form" sheetId="1" r:id="rId1"/>
  </sheets>
  <definedNames>
    <definedName name="_xlnm._FilterDatabase" localSheetId="0" hidden="1">'recipe form'!$N$11:$S$13</definedName>
    <definedName name="_xlnm.Print_Area" localSheetId="0">'recipe form'!$A$1:$S$57</definedName>
  </definedNames>
  <calcPr calcId="162913"/>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shapeId="0">
      <text>
        <r>
          <rPr>
            <sz val="10"/>
            <color indexed="81"/>
            <rFont val="Tahoma"/>
            <family val="2"/>
          </rPr>
          <t>Enter the recipe name here in English.</t>
        </r>
      </text>
    </comment>
    <comment ref="Q1" authorId="1" shapeId="0">
      <text>
        <r>
          <rPr>
            <sz val="10"/>
            <color indexed="81"/>
            <rFont val="Tahoma"/>
            <family val="2"/>
          </rPr>
          <t>Enter the village code of the village for which this recipe is made (ex. GB=German Bemidji).</t>
        </r>
      </text>
    </comment>
    <comment ref="G2" authorId="0" shapeId="0">
      <text>
        <r>
          <rPr>
            <sz val="10"/>
            <color indexed="81"/>
            <rFont val="Tahoma"/>
            <family val="2"/>
          </rPr>
          <t>Enter recipe name here in target language.</t>
        </r>
      </text>
    </comment>
    <comment ref="Q2" authorId="1" shapeId="0">
      <text>
        <r>
          <rPr>
            <sz val="10"/>
            <color indexed="81"/>
            <rFont val="Tahoma"/>
            <family val="2"/>
          </rPr>
          <t>This is the recipe code based on the database standards of CLV.</t>
        </r>
      </text>
    </comment>
    <comment ref="E8" authorId="0" shapeId="0">
      <text>
        <r>
          <rPr>
            <sz val="10"/>
            <color indexed="81"/>
            <rFont val="Tahoma"/>
            <family val="2"/>
          </rPr>
          <t>Enter name of source from where this recipe has come.</t>
        </r>
      </text>
    </comment>
    <comment ref="Q9" authorId="0" shape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shapeId="0">
      <text>
        <r>
          <rPr>
            <sz val="10"/>
            <color indexed="81"/>
            <rFont val="Tahoma"/>
            <family val="2"/>
          </rPr>
          <t>Enter ingredient names in these spaces, use the TAB key to jump to the next column.</t>
        </r>
      </text>
    </comment>
    <comment ref="J11" authorId="1" shapeId="0">
      <text>
        <r>
          <rPr>
            <sz val="10"/>
            <color indexed="81"/>
            <rFont val="Tahoma"/>
            <family val="2"/>
          </rPr>
          <t>Enter ingredient's quantity amount here.</t>
        </r>
      </text>
    </comment>
    <comment ref="L11" authorId="1" shapeId="0">
      <text>
        <r>
          <rPr>
            <sz val="10"/>
            <color indexed="81"/>
            <rFont val="Tahoma"/>
            <family val="2"/>
          </rPr>
          <t>Enter unit of measurement here based on CLV database standards.</t>
        </r>
      </text>
    </comment>
    <comment ref="J33" authorId="1" shapeId="0">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shapeId="0">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shapeId="0">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<sst xmlns="http://schemas.openxmlformats.org/spreadsheetml/2006/main" count="47" uniqueCount="44">
  <si>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</si>
  <si>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</si>
  <si>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</si>
  <si>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</si>
  <si>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</si>
  <si>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</si>
  <si>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</si>
  <si>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</si>
  <si>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</si>
  <si>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</si>
  <si>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</si>
  <si>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</si>
  <si>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</si>
  <si>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</si>
  <si>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</si>
  <si>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</si>
  <si>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</si>
  <si>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</si>
  <si>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</si>
  <si>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</si>
  <si>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</si>
  <si>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</si>
  <si>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</si>
  <si>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</si>
  <si>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</si>
  <si>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</si>
  <si>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</si>
  <si>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</si>
  <si>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</si>
  <si>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</si>
  <si>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</si>
  <si>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</si>
  <si>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</si>
  <si>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</si>
  <si>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</si>
  <si>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</si>
  <si>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Maple Glazed Salmon</t>
  </si>
  <si>
    <t>Salmon Fillets - 8 oz</t>
  </si>
  <si>
    <t>ct</t>
  </si>
  <si>
    <t>Maple Syrup</t>
  </si>
  <si>
    <t>Tbsp</t>
  </si>
  <si>
    <t>Maple Syrup (again)</t>
  </si>
  <si>
    <t>Soy Sauce</t>
  </si>
  <si>
    <t>Put the salmon in a bowl and combine the first maple syrup and soy sauce.  Marinate the salmon for about 20 minutes.  Place the salmon on a sheet pan.  Brush the raw salmon with the first maple syrup.  Bake it in the oven at 400 degrees for 10 minutes.  Brush the salmon again with the second syrup.  Return to the oven and bake 2 more minutes.  Check the temp and make sure it is done.  You can brush more of the second syrup on after it is done.  Just don't use the same stuff you used on the raw salmon!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</si>
</sst>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zoomScaleSheetLayoutView="110" workbookViewId="0">
      <selection activeCell="D4" sqref="D4:O6"/>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12</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6</v>
      </c>
      <c r="K12" s="15"/>
      <c r="L12" s="33" t="s">
        <v>38</v>
      </c>
      <c r="M12" s="16"/>
      <c r="N12" s="29">
        <f t="shared" ref="N12:N31" si="0">IF(C12=0," ",(J12/$J$33)*50)</f>
        <v>50</v>
      </c>
      <c r="O12" s="30">
        <f t="shared" ref="O12:O31" si="1">IF(C12=0," ",(J12/$J$33)*75)</f>
        <v>75</v>
      </c>
      <c r="P12" s="30"/>
      <c r="Q12" s="82">
        <f t="shared" ref="Q12:Q31" si="2">IF(C12=0," ",(J12/$J$33)*$Q$9)</f>
        <v>12</v>
      </c>
      <c r="R12" s="82"/>
      <c r="S12" s="83"/>
      <c r="U12" s="9"/>
      <c r="V12" s="9"/>
    </row>
    <row r="13" spans="1:29" ht="12.75" customHeight="1" x14ac:dyDescent="0.2">
      <c r="A13" s="68" t="s">
        <v>1</v>
      </c>
      <c r="B13" s="69"/>
      <c r="C13" s="109" t="s">
        <v>39</v>
      </c>
      <c r="D13" s="109"/>
      <c r="E13" s="109"/>
      <c r="F13" s="109"/>
      <c r="G13" s="109"/>
      <c r="H13" s="109"/>
      <c r="I13" s="110"/>
      <c r="J13" s="63">
        <v>2</v>
      </c>
      <c r="K13" s="64"/>
      <c r="L13" s="70" t="s">
        <v>40</v>
      </c>
      <c r="M13" s="65"/>
      <c r="N13" s="66">
        <f t="shared" si="0"/>
        <v>16.666666666666664</v>
      </c>
      <c r="O13" s="67">
        <f t="shared" si="1"/>
        <v>25</v>
      </c>
      <c r="P13" s="67"/>
      <c r="Q13" s="78">
        <f>IF(C13=0," ",(J13/$J$33)*$Q$9)</f>
        <v>4</v>
      </c>
      <c r="R13" s="78"/>
      <c r="S13" s="79"/>
      <c r="U13" s="9"/>
      <c r="V13" s="9"/>
    </row>
    <row r="14" spans="1:29" ht="12.75" customHeight="1" x14ac:dyDescent="0.2">
      <c r="A14" s="50" t="s">
        <v>2</v>
      </c>
      <c r="B14" s="51"/>
      <c r="C14" s="80" t="s">
        <v>42</v>
      </c>
      <c r="D14" s="80"/>
      <c r="E14" s="80"/>
      <c r="F14" s="80"/>
      <c r="G14" s="80"/>
      <c r="H14" s="80"/>
      <c r="I14" s="81"/>
      <c r="J14" s="56">
        <v>1</v>
      </c>
      <c r="K14" s="15"/>
      <c r="L14" s="34" t="s">
        <v>40</v>
      </c>
      <c r="M14" s="16"/>
      <c r="N14" s="29">
        <f t="shared" si="0"/>
        <v>8.3333333333333321</v>
      </c>
      <c r="O14" s="30">
        <f t="shared" si="1"/>
        <v>12.5</v>
      </c>
      <c r="P14" s="30"/>
      <c r="Q14" s="82">
        <f>IF(C14=0," ",(J14/$J$33)*$Q$9)</f>
        <v>2</v>
      </c>
      <c r="R14" s="82"/>
      <c r="S14" s="83"/>
      <c r="U14" s="9"/>
      <c r="V14" s="9"/>
    </row>
    <row r="15" spans="1:29" ht="12.75" customHeight="1" x14ac:dyDescent="0.2">
      <c r="A15" s="68" t="s">
        <v>3</v>
      </c>
      <c r="B15" s="69"/>
      <c r="C15" s="109" t="s">
        <v>41</v>
      </c>
      <c r="D15" s="109"/>
      <c r="E15" s="109"/>
      <c r="F15" s="109"/>
      <c r="G15" s="109"/>
      <c r="H15" s="109"/>
      <c r="I15" s="110"/>
      <c r="J15" s="63">
        <v>2</v>
      </c>
      <c r="K15" s="64"/>
      <c r="L15" s="70" t="s">
        <v>40</v>
      </c>
      <c r="M15" s="71"/>
      <c r="N15" s="66">
        <f t="shared" si="0"/>
        <v>16.666666666666664</v>
      </c>
      <c r="O15" s="67">
        <f t="shared" si="1"/>
        <v>25</v>
      </c>
      <c r="P15" s="67"/>
      <c r="Q15" s="78">
        <f>IF(C15=0," ",(J15/$J$33)*$Q$9)</f>
        <v>4</v>
      </c>
      <c r="R15" s="78"/>
      <c r="S15" s="79"/>
      <c r="U15" s="9"/>
      <c r="V15" s="9"/>
    </row>
    <row r="16" spans="1:29" ht="12.75" customHeight="1" x14ac:dyDescent="0.2">
      <c r="A16" s="50" t="s">
        <v>4</v>
      </c>
      <c r="B16" s="51"/>
      <c r="C16" s="80"/>
      <c r="D16" s="80"/>
      <c r="E16" s="80"/>
      <c r="F16" s="80"/>
      <c r="G16" s="80"/>
      <c r="H16" s="80"/>
      <c r="I16" s="81"/>
      <c r="J16" s="56"/>
      <c r="K16" s="15"/>
      <c r="L16" s="34"/>
      <c r="M16" s="16"/>
      <c r="N16" s="29" t="str">
        <f t="shared" si="0"/>
        <v xml:space="preserve"> </v>
      </c>
      <c r="O16" s="30" t="str">
        <f t="shared" si="1"/>
        <v xml:space="preserve"> </v>
      </c>
      <c r="P16" s="30"/>
      <c r="Q16" s="82" t="str">
        <f t="shared" si="2"/>
        <v xml:space="preserve"> </v>
      </c>
      <c r="R16" s="82"/>
      <c r="S16" s="83"/>
      <c r="U16" s="9"/>
      <c r="V16" s="9"/>
    </row>
    <row r="17" spans="1:23" ht="12.75" customHeight="1" x14ac:dyDescent="0.2">
      <c r="A17" s="68" t="s">
        <v>5</v>
      </c>
      <c r="B17" s="69"/>
      <c r="C17" s="109"/>
      <c r="D17" s="109"/>
      <c r="E17" s="109"/>
      <c r="F17" s="109"/>
      <c r="G17" s="109"/>
      <c r="H17" s="109"/>
      <c r="I17" s="110"/>
      <c r="J17" s="63"/>
      <c r="K17" s="64"/>
      <c r="L17" s="70"/>
      <c r="M17" s="65"/>
      <c r="N17" s="66" t="str">
        <f t="shared" si="0"/>
        <v xml:space="preserve"> </v>
      </c>
      <c r="O17" s="67" t="str">
        <f t="shared" si="1"/>
        <v xml:space="preserve"> </v>
      </c>
      <c r="P17" s="67"/>
      <c r="Q17" s="78" t="str">
        <f>IF(C17=0," ",(J17/$J$33)*$Q$9)</f>
        <v xml:space="preserve"> </v>
      </c>
      <c r="R17" s="78"/>
      <c r="S17" s="79"/>
      <c r="U17" s="9"/>
      <c r="V17" s="9"/>
    </row>
    <row r="18" spans="1:23" ht="12.75" customHeight="1" x14ac:dyDescent="0.2">
      <c r="A18" s="50" t="s">
        <v>6</v>
      </c>
      <c r="B18" s="51"/>
      <c r="C18" s="80"/>
      <c r="D18" s="80"/>
      <c r="E18" s="80"/>
      <c r="F18" s="80"/>
      <c r="G18" s="80"/>
      <c r="H18" s="80"/>
      <c r="I18" s="81"/>
      <c r="J18" s="56"/>
      <c r="K18" s="15"/>
      <c r="L18" s="34"/>
      <c r="M18" s="16"/>
      <c r="N18" s="29" t="str">
        <f t="shared" si="0"/>
        <v xml:space="preserve"> </v>
      </c>
      <c r="O18" s="30" t="str">
        <f t="shared" si="1"/>
        <v xml:space="preserve"> </v>
      </c>
      <c r="P18" s="30"/>
      <c r="Q18" s="82" t="str">
        <f t="shared" si="2"/>
        <v xml:space="preserve"> </v>
      </c>
      <c r="R18" s="82"/>
      <c r="S18" s="83"/>
      <c r="U18" s="9"/>
      <c r="V18" s="9"/>
    </row>
    <row r="19" spans="1:23" ht="12.75" customHeight="1" x14ac:dyDescent="0.2">
      <c r="A19" s="68" t="s">
        <v>7</v>
      </c>
      <c r="B19" s="69"/>
      <c r="C19" s="109"/>
      <c r="D19" s="109"/>
      <c r="E19" s="109"/>
      <c r="F19" s="109"/>
      <c r="G19" s="109"/>
      <c r="H19" s="109"/>
      <c r="I19" s="110"/>
      <c r="J19" s="63"/>
      <c r="K19" s="64"/>
      <c r="L19" s="70"/>
      <c r="M19" s="65"/>
      <c r="N19" s="66" t="str">
        <f t="shared" si="0"/>
        <v xml:space="preserve"> </v>
      </c>
      <c r="O19" s="67" t="str">
        <f t="shared" si="1"/>
        <v xml:space="preserve"> </v>
      </c>
      <c r="P19" s="67"/>
      <c r="Q19" s="78" t="str">
        <f t="shared" ref="Q19" si="3">IF(C19=0," ",(J19/$J$33)*$Q$9)</f>
        <v xml:space="preserve"> </v>
      </c>
      <c r="R19" s="78"/>
      <c r="S19" s="79"/>
      <c r="U19" s="9"/>
      <c r="V19" s="9"/>
    </row>
    <row r="20" spans="1:23" ht="12.75" customHeight="1" x14ac:dyDescent="0.2">
      <c r="A20" s="50" t="s">
        <v>8</v>
      </c>
      <c r="B20" s="51"/>
      <c r="C20" s="80"/>
      <c r="D20" s="80"/>
      <c r="E20" s="80"/>
      <c r="F20" s="80"/>
      <c r="G20" s="80"/>
      <c r="H20" s="80"/>
      <c r="I20" s="81"/>
      <c r="J20" s="56"/>
      <c r="K20" s="15"/>
      <c r="L20" s="34"/>
      <c r="M20" s="16"/>
      <c r="N20" s="29" t="str">
        <f t="shared" si="0"/>
        <v xml:space="preserve"> </v>
      </c>
      <c r="O20" s="30" t="str">
        <f t="shared" si="1"/>
        <v xml:space="preserve"> </v>
      </c>
      <c r="P20" s="30"/>
      <c r="Q20" s="82" t="str">
        <f>IF(C20=0," ",(J20/$J$33)*$Q$9)</f>
        <v xml:space="preserve"> </v>
      </c>
      <c r="R20" s="82"/>
      <c r="S20" s="83"/>
      <c r="U20" s="9"/>
      <c r="V20" s="9"/>
    </row>
    <row r="21" spans="1:23" ht="12.75" customHeight="1" x14ac:dyDescent="0.2">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x14ac:dyDescent="0.2">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x14ac:dyDescent="0.2">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6</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43</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Daniel Eastman</cp:lastModifiedBy>
  <cp:lastPrinted>2015-08-10T19:28:55Z</cp:lastPrinted>
  <dcterms:created xsi:type="dcterms:W3CDTF">2000-10-24T15:57:25Z</dcterms:created>
  <dcterms:modified xsi:type="dcterms:W3CDTF">2022-03-25T16:37:06Z</dcterms:modified>
</cp:coreProperties>
</file>