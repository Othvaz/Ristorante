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<sst xmlns="http://schemas.openxmlformats.org/spreadsheetml/2006/main" count="57" uniqueCount="52">
  <si>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</si>
  <si>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</si>
  <si>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</si>
  <si>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</si>
  <si>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</si>
  <si>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</si>
  <si>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</si>
  <si>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</si>
  <si>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</si>
  <si>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</si>
  <si>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</si>
  <si>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</si>
  <si>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</si>
  <si>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</si>
  <si>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</si>
  <si>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</si>
  <si>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</si>
  <si>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</si>
  <si>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</si>
  <si>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</si>
  <si>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</si>
  <si>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</si>
  <si>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</si>
  <si>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</si>
  <si>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</si>
  <si>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</si>
  <si>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</si>
  <si>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</si>
  <si>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</si>
  <si>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</si>
  <si>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</si>
  <si>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</si>
  <si>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</si>
  <si>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</si>
  <si>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</si>
  <si>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</si>
  <si>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Banana Fritters</t>
  </si>
  <si>
    <t>Bananas -ripe/peeled and chopped</t>
  </si>
  <si>
    <t>rum</t>
  </si>
  <si>
    <t>sugar</t>
  </si>
  <si>
    <t>lime juice</t>
  </si>
  <si>
    <t>flour</t>
  </si>
  <si>
    <t>butter</t>
  </si>
  <si>
    <t>milk</t>
  </si>
  <si>
    <t>baking powder</t>
  </si>
  <si>
    <t>egg</t>
  </si>
  <si>
    <t>ct</t>
  </si>
  <si>
    <t>T</t>
  </si>
  <si>
    <t>t</t>
  </si>
  <si>
    <t xml:space="preserve">c </t>
  </si>
  <si>
    <t>c</t>
  </si>
  <si>
    <t>Toss bananas, rum and 1/3 of the sugar and let marinate for 1hr                                                               Combine remaining ingredients to make a batter. Dip banana pieces into batter a deep fry till golden brown.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</si>
</sst>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9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3</v>
      </c>
      <c r="K12" s="15"/>
      <c r="L12" s="33" t="s">
        <v>46</v>
      </c>
      <c r="M12" s="16"/>
      <c r="N12" s="29">
        <f t="shared" ref="N12:N31" si="0">IF(C12=0," ",(J12/$J$33)*50)</f>
        <v>37.5</v>
      </c>
      <c r="O12" s="30">
        <f t="shared" ref="O12:O31" si="1">IF(C12=0," ",(J12/$J$33)*75)</f>
        <v>56.25</v>
      </c>
      <c r="P12" s="30"/>
      <c r="Q12" s="82">
        <f t="shared" ref="Q12:Q31" si="2">IF(C12=0," ",(J12/$J$33)*$Q$9)</f>
        <v>52.5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0.5</v>
      </c>
      <c r="K13" s="64"/>
      <c r="L13" s="70" t="s">
        <v>46</v>
      </c>
      <c r="M13" s="65"/>
      <c r="N13" s="66">
        <f t="shared" si="0"/>
        <v>6.25</v>
      </c>
      <c r="O13" s="67">
        <f t="shared" si="1"/>
        <v>9.375</v>
      </c>
      <c r="P13" s="67"/>
      <c r="Q13" s="78">
        <f>IF(C13=0," ",(J13/$J$33)*$Q$9)</f>
        <v>8.75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3</v>
      </c>
      <c r="K14" s="15"/>
      <c r="L14" s="34" t="s">
        <v>47</v>
      </c>
      <c r="M14" s="16"/>
      <c r="N14" s="29">
        <f t="shared" si="0"/>
        <v>37.5</v>
      </c>
      <c r="O14" s="30">
        <f t="shared" si="1"/>
        <v>56.25</v>
      </c>
      <c r="P14" s="30"/>
      <c r="Q14" s="82">
        <f>IF(C14=0," ",(J14/$J$33)*$Q$9)</f>
        <v>52.5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48</v>
      </c>
      <c r="M15" s="71"/>
      <c r="N15" s="66">
        <f t="shared" si="0"/>
        <v>12.5</v>
      </c>
      <c r="O15" s="67">
        <f t="shared" si="1"/>
        <v>18.75</v>
      </c>
      <c r="P15" s="67"/>
      <c r="Q15" s="78">
        <f>IF(C15=0," ",(J15/$J$33)*$Q$9)</f>
        <v>17.5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2</v>
      </c>
      <c r="K16" s="15"/>
      <c r="L16" s="34" t="s">
        <v>49</v>
      </c>
      <c r="M16" s="16"/>
      <c r="N16" s="29">
        <f t="shared" si="0"/>
        <v>25</v>
      </c>
      <c r="O16" s="30">
        <f t="shared" si="1"/>
        <v>37.5</v>
      </c>
      <c r="P16" s="30"/>
      <c r="Q16" s="82">
        <f t="shared" si="2"/>
        <v>35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47</v>
      </c>
      <c r="M17" s="65"/>
      <c r="N17" s="66">
        <f t="shared" si="0"/>
        <v>12.5</v>
      </c>
      <c r="O17" s="67">
        <f t="shared" si="1"/>
        <v>18.75</v>
      </c>
      <c r="P17" s="67"/>
      <c r="Q17" s="78">
        <f>IF(C17=0," ",(J17/$J$33)*$Q$9)</f>
        <v>17.5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>
        <v>0.5</v>
      </c>
      <c r="K18" s="15"/>
      <c r="L18" s="34" t="s">
        <v>50</v>
      </c>
      <c r="M18" s="16"/>
      <c r="N18" s="29">
        <f t="shared" si="0"/>
        <v>6.25</v>
      </c>
      <c r="O18" s="30">
        <f t="shared" si="1"/>
        <v>9.375</v>
      </c>
      <c r="P18" s="30"/>
      <c r="Q18" s="82">
        <f t="shared" si="2"/>
        <v>8.75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>
        <v>1</v>
      </c>
      <c r="K19" s="64"/>
      <c r="L19" s="70" t="s">
        <v>48</v>
      </c>
      <c r="M19" s="65"/>
      <c r="N19" s="66">
        <f t="shared" si="0"/>
        <v>12.5</v>
      </c>
      <c r="O19" s="67">
        <f t="shared" si="1"/>
        <v>18.75</v>
      </c>
      <c r="P19" s="67"/>
      <c r="Q19" s="78">
        <f t="shared" ref="Q19" si="3">IF(C19=0," ",(J19/$J$33)*$Q$9)</f>
        <v>17.5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45</v>
      </c>
      <c r="D20" s="80"/>
      <c r="E20" s="80"/>
      <c r="F20" s="80"/>
      <c r="G20" s="80"/>
      <c r="H20" s="80"/>
      <c r="I20" s="81"/>
      <c r="J20" s="56">
        <v>1</v>
      </c>
      <c r="K20" s="15"/>
      <c r="L20" s="34" t="s">
        <v>46</v>
      </c>
      <c r="M20" s="16"/>
      <c r="N20" s="29">
        <f t="shared" si="0"/>
        <v>12.5</v>
      </c>
      <c r="O20" s="30">
        <f t="shared" si="1"/>
        <v>18.75</v>
      </c>
      <c r="P20" s="30"/>
      <c r="Q20" s="82">
        <f>IF(C20=0," ",(J20/$J$33)*$Q$9)</f>
        <v>17.5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4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51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2011-07-18T04:32:03Z</dcterms:modified>
</cp:coreProperties>
</file>