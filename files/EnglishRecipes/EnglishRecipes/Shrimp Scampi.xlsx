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<sst xmlns="http://schemas.openxmlformats.org/spreadsheetml/2006/main" count="56" uniqueCount="51">
  <si>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</si>
  <si>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</si>
  <si>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</si>
  <si>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</si>
  <si>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</si>
  <si>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</si>
  <si>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</si>
  <si>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</si>
  <si>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</si>
  <si>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</si>
  <si>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</si>
  <si>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</si>
  <si>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</si>
  <si>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</si>
  <si>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</si>
  <si>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</si>
  <si>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</si>
  <si>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</si>
  <si>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</si>
  <si>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</si>
  <si>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</si>
  <si>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</si>
  <si>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</si>
  <si>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</si>
  <si>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</si>
  <si>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</si>
  <si>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</si>
  <si>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</si>
  <si>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</si>
  <si>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</si>
  <si>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</si>
  <si>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</si>
  <si>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</si>
  <si>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</si>
  <si>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</si>
  <si>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</si>
  <si>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Shrimp Scampi</t>
  </si>
  <si>
    <t>Betty Crocker</t>
  </si>
  <si>
    <t>Olive Oil</t>
  </si>
  <si>
    <t>Shrimp</t>
  </si>
  <si>
    <t>Green Onion -thinnly sliced</t>
  </si>
  <si>
    <t>Garlic -finely chopped</t>
  </si>
  <si>
    <t>Basil -fresh</t>
  </si>
  <si>
    <t>Parsley</t>
  </si>
  <si>
    <t>Lemon Juice</t>
  </si>
  <si>
    <t>salt</t>
  </si>
  <si>
    <t>T</t>
  </si>
  <si>
    <t>lbs</t>
  </si>
  <si>
    <t>ct</t>
  </si>
  <si>
    <t>t</t>
  </si>
  <si>
    <t xml:space="preserve">Heat oil add shrimp and remaining ingredients. Cook until shrimp are done. Serve over spaghetti noodles and sprinkle with Parmesan cheese.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</si>
</sst>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8" zoomScaleNormal="100" zoomScaleSheetLayoutView="110" workbookViewId="0">
      <selection activeCell="A37" sqref="A37:S49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 t="s">
        <v>37</v>
      </c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110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38</v>
      </c>
      <c r="D12" s="111"/>
      <c r="E12" s="111"/>
      <c r="F12" s="111"/>
      <c r="G12" s="111"/>
      <c r="H12" s="111"/>
      <c r="I12" s="112"/>
      <c r="J12" s="56">
        <v>1</v>
      </c>
      <c r="K12" s="15"/>
      <c r="L12" s="33" t="s">
        <v>46</v>
      </c>
      <c r="M12" s="16"/>
      <c r="N12" s="29">
        <f t="shared" ref="N12:N31" si="0">IF(C12=0," ",(J12/$J$33)*50)</f>
        <v>25</v>
      </c>
      <c r="O12" s="30">
        <f t="shared" ref="O12:O31" si="1">IF(C12=0," ",(J12/$J$33)*75)</f>
        <v>37.5</v>
      </c>
      <c r="P12" s="30"/>
      <c r="Q12" s="82">
        <f t="shared" ref="Q12:Q31" si="2">IF(C12=0," ",(J12/$J$33)*$Q$9)</f>
        <v>55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39</v>
      </c>
      <c r="D13" s="109"/>
      <c r="E13" s="109"/>
      <c r="F13" s="109"/>
      <c r="G13" s="109"/>
      <c r="H13" s="109"/>
      <c r="I13" s="110"/>
      <c r="J13" s="63">
        <v>0.75</v>
      </c>
      <c r="K13" s="64"/>
      <c r="L13" s="70" t="s">
        <v>47</v>
      </c>
      <c r="M13" s="65"/>
      <c r="N13" s="66">
        <f t="shared" si="0"/>
        <v>18.75</v>
      </c>
      <c r="O13" s="67">
        <f t="shared" si="1"/>
        <v>28.125</v>
      </c>
      <c r="P13" s="67"/>
      <c r="Q13" s="78">
        <f>IF(C13=0," ",(J13/$J$33)*$Q$9)</f>
        <v>41.25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40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48</v>
      </c>
      <c r="M14" s="16"/>
      <c r="N14" s="29">
        <f t="shared" si="0"/>
        <v>25</v>
      </c>
      <c r="O14" s="30">
        <f t="shared" si="1"/>
        <v>37.5</v>
      </c>
      <c r="P14" s="30"/>
      <c r="Q14" s="82">
        <f>IF(C14=0," ",(J14/$J$33)*$Q$9)</f>
        <v>55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41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48</v>
      </c>
      <c r="M15" s="71"/>
      <c r="N15" s="66">
        <f t="shared" si="0"/>
        <v>25</v>
      </c>
      <c r="O15" s="67">
        <f t="shared" si="1"/>
        <v>37.5</v>
      </c>
      <c r="P15" s="67"/>
      <c r="Q15" s="78">
        <f>IF(C15=0," ",(J15/$J$33)*$Q$9)</f>
        <v>55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42</v>
      </c>
      <c r="D16" s="80"/>
      <c r="E16" s="80"/>
      <c r="F16" s="80"/>
      <c r="G16" s="80"/>
      <c r="H16" s="80"/>
      <c r="I16" s="81"/>
      <c r="J16" s="56">
        <v>2</v>
      </c>
      <c r="K16" s="15"/>
      <c r="L16" s="34" t="s">
        <v>49</v>
      </c>
      <c r="M16" s="16"/>
      <c r="N16" s="29">
        <f t="shared" si="0"/>
        <v>50</v>
      </c>
      <c r="O16" s="30">
        <f t="shared" si="1"/>
        <v>75</v>
      </c>
      <c r="P16" s="30"/>
      <c r="Q16" s="82">
        <f t="shared" si="2"/>
        <v>110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43</v>
      </c>
      <c r="D17" s="109"/>
      <c r="E17" s="109"/>
      <c r="F17" s="109"/>
      <c r="G17" s="109"/>
      <c r="H17" s="109"/>
      <c r="I17" s="110"/>
      <c r="J17" s="63">
        <v>2</v>
      </c>
      <c r="K17" s="64"/>
      <c r="L17" s="70" t="s">
        <v>49</v>
      </c>
      <c r="M17" s="65"/>
      <c r="N17" s="66">
        <f t="shared" si="0"/>
        <v>50</v>
      </c>
      <c r="O17" s="67">
        <f t="shared" si="1"/>
        <v>75</v>
      </c>
      <c r="P17" s="67"/>
      <c r="Q17" s="78">
        <f>IF(C17=0," ",(J17/$J$33)*$Q$9)</f>
        <v>110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44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46</v>
      </c>
      <c r="M18" s="16"/>
      <c r="N18" s="29">
        <f t="shared" si="0"/>
        <v>25</v>
      </c>
      <c r="O18" s="30">
        <f t="shared" si="1"/>
        <v>37.5</v>
      </c>
      <c r="P18" s="30"/>
      <c r="Q18" s="82">
        <f t="shared" si="2"/>
        <v>55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45</v>
      </c>
      <c r="D19" s="109"/>
      <c r="E19" s="109"/>
      <c r="F19" s="109"/>
      <c r="G19" s="109"/>
      <c r="H19" s="109"/>
      <c r="I19" s="110"/>
      <c r="J19" s="63">
        <v>0.125</v>
      </c>
      <c r="K19" s="64"/>
      <c r="L19" s="70" t="s">
        <v>49</v>
      </c>
      <c r="M19" s="65"/>
      <c r="N19" s="66">
        <f t="shared" si="0"/>
        <v>3.125</v>
      </c>
      <c r="O19" s="67">
        <f t="shared" si="1"/>
        <v>4.6875</v>
      </c>
      <c r="P19" s="67"/>
      <c r="Q19" s="78">
        <f t="shared" ref="Q19" si="3">IF(C19=0," ",(J19/$J$33)*$Q$9)</f>
        <v>6.875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2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50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2012-08-08T01:12:09Z</dcterms:modified>
</cp:coreProperties>
</file>