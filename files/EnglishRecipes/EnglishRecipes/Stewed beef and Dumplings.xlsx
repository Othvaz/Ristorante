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<sst xmlns="http://schemas.openxmlformats.org/spreadsheetml/2006/main" count="66" uniqueCount="59">
  <si>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</si>
  <si>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</si>
  <si>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</si>
  <si>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</si>
  <si>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</si>
  <si>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</si>
  <si>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</si>
  <si>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</si>
  <si>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</si>
  <si>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</si>
  <si>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</si>
  <si>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</si>
  <si>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</si>
  <si>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</si>
  <si>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</si>
  <si>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</si>
  <si>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</si>
  <si>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</si>
  <si>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</si>
  <si>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</si>
  <si>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</si>
  <si>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</si>
  <si>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</si>
  <si>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</si>
  <si>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</si>
  <si>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</si>
  <si>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</si>
  <si>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</si>
  <si>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</si>
  <si>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</si>
  <si>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</si>
  <si>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</si>
  <si>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</si>
  <si>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</si>
  <si>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</si>
  <si>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</si>
  <si>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Stewed Beef and Dumplings</t>
  </si>
  <si>
    <t>Bay Leaves</t>
  </si>
  <si>
    <t>Ball Tip Cubed</t>
  </si>
  <si>
    <t>Thyme</t>
  </si>
  <si>
    <t>Coconut Milk</t>
  </si>
  <si>
    <t>Oil</t>
  </si>
  <si>
    <t>Garlic Cloves -chopped</t>
  </si>
  <si>
    <t>Onion</t>
  </si>
  <si>
    <t>Chives</t>
  </si>
  <si>
    <t>Brown Sugar</t>
  </si>
  <si>
    <t>T</t>
  </si>
  <si>
    <t>lbs</t>
  </si>
  <si>
    <t>ct</t>
  </si>
  <si>
    <t xml:space="preserve">c </t>
  </si>
  <si>
    <t>t</t>
  </si>
  <si>
    <t>Heat oil with brown sugar to a syrup consistancy, Add beef and brown. Add Coconut Milk, Bay Leaves, Thyme, Garlic, and onion. Cook till tender.                                                                                                  For The Dumplings: Combine ingredients and add water till you have a stiff dough. Then boil in heavily salted water till done.</t>
  </si>
  <si>
    <t>Dumplings:</t>
  </si>
  <si>
    <t>Flour</t>
  </si>
  <si>
    <t>Butter</t>
  </si>
  <si>
    <t>Baking Powder</t>
  </si>
  <si>
    <t>Sugar</t>
  </si>
  <si>
    <t>salt  -to taste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</si>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</sst>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14" zoomScaleNormal="100" zoomScaleSheetLayoutView="110" workbookViewId="0">
      <selection activeCell="L26" sqref="L26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110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6</v>
      </c>
      <c r="K12" s="15"/>
      <c r="L12" s="33" t="s">
        <v>48</v>
      </c>
      <c r="M12" s="16"/>
      <c r="N12" s="29">
        <f t="shared" ref="N12:N31" si="0">IF(C12=0," ",(J12/$J$33)*50)</f>
        <v>37.5</v>
      </c>
      <c r="O12" s="30">
        <f t="shared" ref="O12:O31" si="1">IF(C12=0," ",(J12/$J$33)*75)</f>
        <v>56.25</v>
      </c>
      <c r="P12" s="30"/>
      <c r="Q12" s="82">
        <f t="shared" ref="Q12:Q31" si="2">IF(C12=0," ",(J12/$J$33)*$Q$9)</f>
        <v>82.5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3</v>
      </c>
      <c r="K13" s="64"/>
      <c r="L13" s="70" t="s">
        <v>47</v>
      </c>
      <c r="M13" s="65"/>
      <c r="N13" s="66">
        <f t="shared" si="0"/>
        <v>18.75</v>
      </c>
      <c r="O13" s="67">
        <f t="shared" si="1"/>
        <v>28.125</v>
      </c>
      <c r="P13" s="67"/>
      <c r="Q13" s="78">
        <f>IF(C13=0," ",(J13/$J$33)*$Q$9)</f>
        <v>41.25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0.5</v>
      </c>
      <c r="K14" s="15"/>
      <c r="L14" s="34" t="s">
        <v>46</v>
      </c>
      <c r="M14" s="16"/>
      <c r="N14" s="29">
        <f t="shared" si="0"/>
        <v>3.125</v>
      </c>
      <c r="O14" s="30">
        <f t="shared" si="1"/>
        <v>4.6875</v>
      </c>
      <c r="P14" s="30"/>
      <c r="Q14" s="82">
        <f>IF(C14=0," ",(J14/$J$33)*$Q$9)</f>
        <v>6.875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49</v>
      </c>
      <c r="M15" s="71"/>
      <c r="N15" s="66">
        <f t="shared" si="0"/>
        <v>6.25</v>
      </c>
      <c r="O15" s="67">
        <f t="shared" si="1"/>
        <v>9.375</v>
      </c>
      <c r="P15" s="67"/>
      <c r="Q15" s="78">
        <f>IF(C15=0," ",(J15/$J$33)*$Q$9)</f>
        <v>13.75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/>
      <c r="K16" s="15"/>
      <c r="L16" s="34"/>
      <c r="M16" s="16"/>
      <c r="N16" s="29">
        <f t="shared" si="0"/>
        <v>0</v>
      </c>
      <c r="O16" s="30">
        <f t="shared" si="1"/>
        <v>0</v>
      </c>
      <c r="P16" s="30"/>
      <c r="Q16" s="82">
        <f t="shared" si="2"/>
        <v>0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4</v>
      </c>
      <c r="K17" s="64"/>
      <c r="L17" s="70" t="s">
        <v>48</v>
      </c>
      <c r="M17" s="65"/>
      <c r="N17" s="66">
        <f t="shared" si="0"/>
        <v>25</v>
      </c>
      <c r="O17" s="67">
        <f t="shared" si="1"/>
        <v>37.5</v>
      </c>
      <c r="P17" s="67"/>
      <c r="Q17" s="78">
        <f>IF(C17=0," ",(J17/$J$33)*$Q$9)</f>
        <v>55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48</v>
      </c>
      <c r="M18" s="16"/>
      <c r="N18" s="29">
        <f t="shared" si="0"/>
        <v>6.25</v>
      </c>
      <c r="O18" s="30">
        <f t="shared" si="1"/>
        <v>9.375</v>
      </c>
      <c r="P18" s="30"/>
      <c r="Q18" s="82">
        <f t="shared" si="2"/>
        <v>13.75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v>1</v>
      </c>
      <c r="K19" s="64"/>
      <c r="L19" s="70" t="s">
        <v>46</v>
      </c>
      <c r="M19" s="65"/>
      <c r="N19" s="66">
        <f t="shared" si="0"/>
        <v>6.25</v>
      </c>
      <c r="O19" s="67">
        <f t="shared" si="1"/>
        <v>9.375</v>
      </c>
      <c r="P19" s="67"/>
      <c r="Q19" s="78">
        <f t="shared" ref="Q19" si="3">IF(C19=0," ",(J19/$J$33)*$Q$9)</f>
        <v>13.75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 t="s">
        <v>45</v>
      </c>
      <c r="D20" s="80"/>
      <c r="E20" s="80"/>
      <c r="F20" s="80"/>
      <c r="G20" s="80"/>
      <c r="H20" s="80"/>
      <c r="I20" s="81"/>
      <c r="J20" s="56">
        <v>1</v>
      </c>
      <c r="K20" s="15"/>
      <c r="L20" s="34" t="s">
        <v>50</v>
      </c>
      <c r="M20" s="16"/>
      <c r="N20" s="29">
        <f t="shared" si="0"/>
        <v>6.25</v>
      </c>
      <c r="O20" s="30">
        <f t="shared" si="1"/>
        <v>9.375</v>
      </c>
      <c r="P20" s="30"/>
      <c r="Q20" s="82">
        <f>IF(C20=0," ",(J20/$J$33)*$Q$9)</f>
        <v>13.75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 t="s">
        <v>52</v>
      </c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>
        <f t="shared" si="0"/>
        <v>0</v>
      </c>
      <c r="O22" s="30">
        <f t="shared" si="1"/>
        <v>0</v>
      </c>
      <c r="P22" s="30"/>
      <c r="Q22" s="82">
        <f t="shared" si="2"/>
        <v>0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 t="s">
        <v>53</v>
      </c>
      <c r="D23" s="109"/>
      <c r="E23" s="109"/>
      <c r="F23" s="109"/>
      <c r="G23" s="109"/>
      <c r="H23" s="109"/>
      <c r="I23" s="110"/>
      <c r="J23" s="63">
        <v>2</v>
      </c>
      <c r="K23" s="64"/>
      <c r="L23" s="70" t="s">
        <v>58</v>
      </c>
      <c r="M23" s="65"/>
      <c r="N23" s="66">
        <f t="shared" si="0"/>
        <v>12.5</v>
      </c>
      <c r="O23" s="67">
        <f t="shared" si="1"/>
        <v>18.75</v>
      </c>
      <c r="P23" s="67"/>
      <c r="Q23" s="78">
        <f>IF(C23=0," ",(J23/$J$33)*$Q$9)</f>
        <v>27.5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 t="s">
        <v>54</v>
      </c>
      <c r="D24" s="80"/>
      <c r="E24" s="80"/>
      <c r="F24" s="80"/>
      <c r="G24" s="80"/>
      <c r="H24" s="80"/>
      <c r="I24" s="81"/>
      <c r="J24" s="56">
        <v>1</v>
      </c>
      <c r="K24" s="15"/>
      <c r="L24" s="34" t="s">
        <v>46</v>
      </c>
      <c r="M24" s="16"/>
      <c r="N24" s="29">
        <f t="shared" si="0"/>
        <v>6.25</v>
      </c>
      <c r="O24" s="30">
        <f t="shared" si="1"/>
        <v>9.375</v>
      </c>
      <c r="P24" s="30"/>
      <c r="Q24" s="82">
        <f t="shared" si="2"/>
        <v>13.75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 t="s">
        <v>55</v>
      </c>
      <c r="D25" s="109"/>
      <c r="E25" s="109"/>
      <c r="F25" s="109"/>
      <c r="G25" s="109"/>
      <c r="H25" s="109"/>
      <c r="I25" s="110"/>
      <c r="J25" s="63">
        <v>1</v>
      </c>
      <c r="K25" s="64"/>
      <c r="L25" s="70" t="s">
        <v>50</v>
      </c>
      <c r="M25" s="65"/>
      <c r="N25" s="66">
        <f t="shared" si="0"/>
        <v>6.25</v>
      </c>
      <c r="O25" s="67">
        <f t="shared" si="1"/>
        <v>9.375</v>
      </c>
      <c r="P25" s="67"/>
      <c r="Q25" s="78">
        <f t="shared" si="2"/>
        <v>13.75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 t="s">
        <v>56</v>
      </c>
      <c r="D26" s="80"/>
      <c r="E26" s="80"/>
      <c r="F26" s="80"/>
      <c r="G26" s="80"/>
      <c r="H26" s="80"/>
      <c r="I26" s="81"/>
      <c r="J26" s="56">
        <v>0.5</v>
      </c>
      <c r="K26" s="15"/>
      <c r="L26" s="34" t="s">
        <v>50</v>
      </c>
      <c r="M26" s="16"/>
      <c r="N26" s="29">
        <f t="shared" si="0"/>
        <v>3.125</v>
      </c>
      <c r="O26" s="30">
        <f t="shared" si="1"/>
        <v>4.6875</v>
      </c>
      <c r="P26" s="30"/>
      <c r="Q26" s="82">
        <f t="shared" si="2"/>
        <v>6.875</v>
      </c>
      <c r="R26" s="82"/>
      <c r="S26" s="83"/>
    </row>
    <row r="27" spans="1:23" ht="12.75" customHeight="1" x14ac:dyDescent="0.2">
      <c r="A27" s="68" t="s">
        <v>22</v>
      </c>
      <c r="B27" s="69"/>
      <c r="C27" s="109" t="s">
        <v>57</v>
      </c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>
        <f t="shared" si="0"/>
        <v>0</v>
      </c>
      <c r="O27" s="67">
        <f t="shared" si="1"/>
        <v>0</v>
      </c>
      <c r="P27" s="67"/>
      <c r="Q27" s="78">
        <f t="shared" si="2"/>
        <v>0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8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51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2012-08-07T17:33:18Z</dcterms:modified>
</cp:coreProperties>
</file>