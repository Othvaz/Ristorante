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W:\Public\Recipes\English Recipes\"/>
    </mc:Choice>
  </mc:AlternateContent>
  <bookViews>
    <workbookView xWindow="0" yWindow="0" windowWidth="20490" windowHeight="6945"/>
  </bookViews>
  <sheets>
    <sheet name="recipe form" sheetId="1" r:id="rId1"/>
  </sheets>
  <definedNames>
    <definedName name="_xlnm._FilterDatabase" localSheetId="0" hidden="1">'recipe form'!$N$11:$S$13</definedName>
    <definedName name="_xlnm.Print_Area" localSheetId="0">'recipe form'!$A$1:$S$57</definedName>
  </definedNames>
  <calcPr calcId="162913" calcMode="autoNoTable"/>
</workbook>
</file>

<file path=xl/calcChain.xml><?xml version="1.0" encoding="utf-8"?>
<calcChain xmlns="http://schemas.openxmlformats.org/spreadsheetml/2006/main">
  <c r="Q19" i="1" l="1"/>
  <c r="N12" i="1"/>
  <c r="O12" i="1"/>
  <c r="N18" i="1"/>
  <c r="N23" i="1"/>
  <c r="O23" i="1"/>
  <c r="Q23" i="1"/>
  <c r="Q13" i="1"/>
  <c r="Q15" i="1"/>
  <c r="Q14" i="1"/>
  <c r="O13" i="1"/>
  <c r="N13" i="1"/>
  <c r="N20" i="1"/>
  <c r="O20" i="1"/>
  <c r="Q20" i="1"/>
  <c r="N17" i="1"/>
  <c r="O17" i="1"/>
  <c r="Q17" i="1"/>
  <c r="R51" i="1"/>
  <c r="R54" i="1"/>
  <c r="Q16" i="1"/>
  <c r="Q18" i="1"/>
  <c r="Q21" i="1"/>
  <c r="Q22" i="1"/>
  <c r="Q24" i="1"/>
  <c r="Q25" i="1"/>
  <c r="Q26" i="1"/>
  <c r="Q27" i="1"/>
  <c r="Q28" i="1"/>
  <c r="Q29" i="1"/>
  <c r="Q30" i="1"/>
  <c r="Q31" i="1"/>
  <c r="Q12" i="1"/>
  <c r="O14" i="1"/>
  <c r="O15" i="1"/>
  <c r="O16" i="1"/>
  <c r="O18" i="1"/>
  <c r="O19" i="1"/>
  <c r="O21" i="1"/>
  <c r="O22" i="1"/>
  <c r="O24" i="1"/>
  <c r="O25" i="1"/>
  <c r="O26" i="1"/>
  <c r="O27" i="1"/>
  <c r="O28" i="1"/>
  <c r="O29" i="1"/>
  <c r="O30" i="1"/>
  <c r="O31" i="1"/>
  <c r="N14" i="1"/>
  <c r="N15" i="1"/>
  <c r="N16" i="1"/>
  <c r="N19" i="1"/>
  <c r="N21" i="1"/>
  <c r="N22" i="1"/>
  <c r="N24" i="1"/>
  <c r="N25" i="1"/>
  <c r="N26" i="1"/>
  <c r="N27" i="1"/>
  <c r="N28" i="1"/>
  <c r="N29" i="1"/>
  <c r="N30" i="1"/>
  <c r="N31" i="1"/>
</calcChain>
</file>

<file path=xl/comments1.xml><?xml version="1.0" encoding="utf-8"?>
<comments xmlns="http://schemas.openxmlformats.org/spreadsheetml/2006/main">
  <authors>
    <author>Tech Prime</author>
    <author>dyson</author>
  </authors>
  <commentList>
    <comment ref="G1" authorId="0" shapeId="0">
      <text>
        <r>
          <rPr>
            <sz val="10"/>
            <color indexed="81"/>
            <rFont val="Tahoma"/>
            <family val="2"/>
          </rPr>
          <t>Enter the recipe name here in English.</t>
        </r>
      </text>
    </comment>
    <comment ref="Q1" authorId="1" shapeId="0">
      <text>
        <r>
          <rPr>
            <sz val="10"/>
            <color indexed="81"/>
            <rFont val="Tahoma"/>
            <family val="2"/>
          </rPr>
          <t>Enter the village code of the village for which this recipe is made (ex. GB=German Bemidji).</t>
        </r>
      </text>
    </comment>
    <comment ref="G2" authorId="0" shapeId="0">
      <text>
        <r>
          <rPr>
            <sz val="10"/>
            <color indexed="81"/>
            <rFont val="Tahoma"/>
            <family val="2"/>
          </rPr>
          <t>Enter recipe name here in target language.</t>
        </r>
      </text>
    </comment>
    <comment ref="Q2" authorId="1" shapeId="0">
      <text>
        <r>
          <rPr>
            <sz val="10"/>
            <color indexed="81"/>
            <rFont val="Tahoma"/>
            <family val="2"/>
          </rPr>
          <t>This is the recipe code based on the database standards of CLV.</t>
        </r>
      </text>
    </comment>
    <comment ref="E8" authorId="0" shapeId="0">
      <text>
        <r>
          <rPr>
            <sz val="10"/>
            <color indexed="81"/>
            <rFont val="Tahoma"/>
            <family val="2"/>
          </rPr>
          <t>Enter name of source from where this recipe has come.</t>
        </r>
      </text>
    </comment>
    <comment ref="Q9" authorId="0" shape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shapeId="0">
      <text>
        <r>
          <rPr>
            <sz val="10"/>
            <color indexed="81"/>
            <rFont val="Tahoma"/>
            <family val="2"/>
          </rPr>
          <t>Enter ingredient names in these spaces, use the TAB key to jump to the next column.</t>
        </r>
      </text>
    </comment>
    <comment ref="J11" authorId="1" shapeId="0">
      <text>
        <r>
          <rPr>
            <sz val="10"/>
            <color indexed="81"/>
            <rFont val="Tahoma"/>
            <family val="2"/>
          </rPr>
          <t>Enter ingredient's quantity amount here.</t>
        </r>
      </text>
    </comment>
    <comment ref="L11" authorId="1" shapeId="0">
      <text>
        <r>
          <rPr>
            <sz val="10"/>
            <color indexed="81"/>
            <rFont val="Tahoma"/>
            <family val="2"/>
          </rPr>
          <t>Enter unit of measurement here based on CLV database standards.</t>
        </r>
      </text>
    </comment>
    <comment ref="J33" authorId="1" shapeId="0">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shapeId="0">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shapeId="0">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<sst xmlns="http://schemas.openxmlformats.org/spreadsheetml/2006/main" count="76" uniqueCount="61">
  <si>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</si>
  <si>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</si>
  <si>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</si>
  <si>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</si>
  <si>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</si>
  <si>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</si>
  <si>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</si>
  <si>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</si>
  <si>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</si>
  <si>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</si>
  <si>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</si>
  <si>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</si>
  <si>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</si>
  <si>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</si>
  <si>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</si>
  <si>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</si>
  <si>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</si>
  <si>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</si>
  <si>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</si>
  <si>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</si>
  <si>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</si>
  <si>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</si>
  <si>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</si>
  <si>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</si>
  <si>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</si>
  <si>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</si>
  <si>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</si>
  <si>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</si>
  <si>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</si>
  <si>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</si>
  <si>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</si>
  <si>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</si>
  <si>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</si>
  <si>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</si>
  <si>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</si>
  <si>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</si>
  <si>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Bacon - diced</t>
  </si>
  <si>
    <t>lbs</t>
  </si>
  <si>
    <t>Carrot - diced</t>
  </si>
  <si>
    <t>Onion - diced</t>
  </si>
  <si>
    <t>Celery - diced</t>
  </si>
  <si>
    <t>Radish - sliced</t>
  </si>
  <si>
    <t>Wild Rice - rinsed well</t>
  </si>
  <si>
    <t>Flour</t>
  </si>
  <si>
    <t>Tbsp</t>
  </si>
  <si>
    <t>Chicken Stock</t>
  </si>
  <si>
    <t>Cream</t>
  </si>
  <si>
    <t>quart</t>
  </si>
  <si>
    <t>Thyme (dried)</t>
  </si>
  <si>
    <t>tsp</t>
  </si>
  <si>
    <t>Rubbed Sage</t>
  </si>
  <si>
    <t>Ground Black Pepper</t>
  </si>
  <si>
    <t>Salt</t>
  </si>
  <si>
    <t>Granulated Garlic</t>
  </si>
  <si>
    <t>Ground Rosemary</t>
  </si>
  <si>
    <t>Mushroom - sliced</t>
  </si>
  <si>
    <t>Not tested, but calculated for 6 ounce servings.                                                                                                                         You can make it chicken wild rice soup by adding 1 lbs cooked diced chicken at the same time as the stock. This should increase the servings by about 4.                                                                                                                                                              You can make it vegetarian by not using bacon and using butter for frying and veggie stock instead of chicken stock.                                              You can make it vegan by not using bacon and using veggie oil for frying and veggie stock instead of chicken and adding an additional tablespoon of flour to help it thcken.                                                                                                                      You can make it Gluten Free by not adding the flour and thickening it with potato starch (prefered) or corn starch.</t>
  </si>
  <si>
    <t>Potato - peeled and diced</t>
  </si>
  <si>
    <t>Wild Rice Hot Dish</t>
  </si>
  <si>
    <t>Put the wild rice in a large pot with a lot of water.  Bring it to a boil and then simmer for 45 minutes.  Strain the rice and put it aside.  Saute the bacon until it is crisp.  Remove the bacon, but leave the fat.  Add the mushrooms and fry until they start to crisp.  Add the carrot, onion and celery.  Depending on how much fat your bacon rendered, you might need to add some butter to make sure it cooks properly.  Saute until they start to soften.  Add the radish and potato and stir them in.  Then, sprinkle in the flour while stirring so that it does not clump up.  Add a little of the stock and stir so that the flour does not cook into clumps.  Once you have the clumps out, add the rest of the stock, cream and seasoning.  Combine all the ingredients in a baking dish and bake at 350 degrees for 45 minutes.</t>
  </si>
  <si>
    <t>Chicken - Cooked and Cubed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</si>
</sst>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a:extLst>
            <a:ext uri="{FF2B5EF4-FFF2-40B4-BE49-F238E27FC236}">
              <a16:creationId xmlns:a16="http://schemas.microsoft.com/office/drawing/2014/main" id="{00000000-0008-0000-0000-00000204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C57"/>
  <sheetViews>
    <sheetView tabSelected="1" zoomScaleSheetLayoutView="110" workbookViewId="0">
      <selection activeCell="O26" sqref="O26"/>
    </sheetView>
  </sheetViews>
  <sheetFormatPr defaultRowHeight="12.75" x14ac:dyDescent="0.2"/>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x14ac:dyDescent="0.3">
      <c r="A1" s="25"/>
      <c r="B1" s="25"/>
      <c r="C1" s="26"/>
      <c r="D1" s="95" t="s">
        <v>35</v>
      </c>
      <c r="E1" s="95"/>
      <c r="F1" s="42"/>
      <c r="G1" s="98" t="s">
        <v>58</v>
      </c>
      <c r="H1" s="98"/>
      <c r="I1" s="98"/>
      <c r="J1" s="98"/>
      <c r="K1" s="98"/>
      <c r="L1" s="98"/>
      <c r="M1" s="98"/>
      <c r="N1" s="98"/>
      <c r="O1" s="98"/>
      <c r="P1" s="46"/>
      <c r="Q1" s="123"/>
      <c r="R1" s="124"/>
      <c r="S1" s="125"/>
      <c r="T1" s="1"/>
      <c r="U1" s="1"/>
      <c r="V1" s="1"/>
      <c r="W1" s="1"/>
      <c r="X1" s="1"/>
      <c r="Y1" s="1"/>
      <c r="Z1" s="1"/>
      <c r="AA1" s="1"/>
    </row>
    <row r="2" spans="1:29" ht="18" customHeight="1" thickBot="1" x14ac:dyDescent="0.3">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x14ac:dyDescent="0.3">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x14ac:dyDescent="0.35">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x14ac:dyDescent="0.35">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x14ac:dyDescent="0.4">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x14ac:dyDescent="0.4">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x14ac:dyDescent="0.4">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x14ac:dyDescent="0.4">
      <c r="A9" s="90" t="s">
        <v>33</v>
      </c>
      <c r="B9" s="91"/>
      <c r="C9" s="91"/>
      <c r="D9" s="57"/>
      <c r="E9" s="92"/>
      <c r="F9" s="93"/>
      <c r="G9" s="93"/>
      <c r="H9" s="93"/>
      <c r="I9" s="93"/>
      <c r="J9" s="93"/>
      <c r="K9" s="93"/>
      <c r="L9" s="93"/>
      <c r="M9" s="93"/>
      <c r="N9" s="93"/>
      <c r="O9" s="94"/>
      <c r="P9" s="27"/>
      <c r="Q9" s="128">
        <v>55</v>
      </c>
      <c r="R9" s="129"/>
      <c r="S9" s="130"/>
      <c r="T9" s="4"/>
      <c r="U9" s="4"/>
      <c r="V9" s="4"/>
      <c r="W9" s="4"/>
      <c r="X9" s="4"/>
      <c r="Y9" s="5"/>
      <c r="Z9" s="5"/>
      <c r="AA9" s="5"/>
      <c r="AB9" s="10"/>
    </row>
    <row r="10" spans="1:29" s="49" customFormat="1" ht="5.25" customHeight="1" x14ac:dyDescent="0.25">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x14ac:dyDescent="0.2">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x14ac:dyDescent="0.2">
      <c r="A12" s="44" t="s">
        <v>0</v>
      </c>
      <c r="B12" s="45"/>
      <c r="C12" s="111" t="s">
        <v>42</v>
      </c>
      <c r="D12" s="111"/>
      <c r="E12" s="111"/>
      <c r="F12" s="111"/>
      <c r="G12" s="111"/>
      <c r="H12" s="111"/>
      <c r="I12" s="112"/>
      <c r="J12" s="56">
        <v>1</v>
      </c>
      <c r="K12" s="15"/>
      <c r="L12" s="33" t="s">
        <v>37</v>
      </c>
      <c r="M12" s="16"/>
      <c r="N12" s="29">
        <f t="shared" ref="N12:N31" si="0">IF(C12=0," ",(J12/$J$33)*50)</f>
        <v>3.125</v>
      </c>
      <c r="O12" s="30">
        <f t="shared" ref="O12:O31" si="1">IF(C12=0," ",(J12/$J$33)*75)</f>
        <v>4.6875</v>
      </c>
      <c r="P12" s="30"/>
      <c r="Q12" s="82">
        <f t="shared" ref="Q12:Q31" si="2">IF(C12=0," ",(J12/$J$33)*$Q$9)</f>
        <v>3.4375</v>
      </c>
      <c r="R12" s="82"/>
      <c r="S12" s="83"/>
      <c r="U12" s="9"/>
      <c r="V12" s="9"/>
    </row>
    <row r="13" spans="1:29" ht="12.75" customHeight="1" x14ac:dyDescent="0.2">
      <c r="A13" s="68" t="s">
        <v>1</v>
      </c>
      <c r="B13" s="69"/>
      <c r="C13" s="109" t="s">
        <v>36</v>
      </c>
      <c r="D13" s="109"/>
      <c r="E13" s="109"/>
      <c r="F13" s="109"/>
      <c r="G13" s="109"/>
      <c r="H13" s="109"/>
      <c r="I13" s="110"/>
      <c r="J13" s="63">
        <v>1</v>
      </c>
      <c r="K13" s="64"/>
      <c r="L13" s="70" t="s">
        <v>37</v>
      </c>
      <c r="M13" s="65"/>
      <c r="N13" s="66">
        <f t="shared" si="0"/>
        <v>3.125</v>
      </c>
      <c r="O13" s="67">
        <f t="shared" si="1"/>
        <v>4.6875</v>
      </c>
      <c r="P13" s="67"/>
      <c r="Q13" s="78">
        <f>IF(C13=0," ",(J13/$J$33)*$Q$9)</f>
        <v>3.4375</v>
      </c>
      <c r="R13" s="78"/>
      <c r="S13" s="79"/>
      <c r="U13" s="9"/>
      <c r="V13" s="9"/>
    </row>
    <row r="14" spans="1:29" ht="12.75" customHeight="1" x14ac:dyDescent="0.2">
      <c r="A14" s="50" t="s">
        <v>2</v>
      </c>
      <c r="B14" s="51"/>
      <c r="C14" s="80" t="s">
        <v>55</v>
      </c>
      <c r="D14" s="80"/>
      <c r="E14" s="80"/>
      <c r="F14" s="80"/>
      <c r="G14" s="80"/>
      <c r="H14" s="80"/>
      <c r="I14" s="81"/>
      <c r="J14" s="56">
        <v>1</v>
      </c>
      <c r="K14" s="15"/>
      <c r="L14" s="34" t="s">
        <v>37</v>
      </c>
      <c r="M14" s="16"/>
      <c r="N14" s="29">
        <f t="shared" si="0"/>
        <v>3.125</v>
      </c>
      <c r="O14" s="30">
        <f t="shared" si="1"/>
        <v>4.6875</v>
      </c>
      <c r="P14" s="30"/>
      <c r="Q14" s="82">
        <f>IF(C14=0," ",(J14/$J$33)*$Q$9)</f>
        <v>3.4375</v>
      </c>
      <c r="R14" s="82"/>
      <c r="S14" s="83"/>
      <c r="U14" s="9"/>
      <c r="V14" s="9"/>
    </row>
    <row r="15" spans="1:29" ht="12.75" customHeight="1" x14ac:dyDescent="0.2">
      <c r="A15" s="68" t="s">
        <v>3</v>
      </c>
      <c r="B15" s="69"/>
      <c r="C15" s="109" t="s">
        <v>38</v>
      </c>
      <c r="D15" s="109"/>
      <c r="E15" s="109"/>
      <c r="F15" s="109"/>
      <c r="G15" s="109"/>
      <c r="H15" s="109"/>
      <c r="I15" s="110"/>
      <c r="J15" s="63">
        <v>2</v>
      </c>
      <c r="K15" s="64"/>
      <c r="L15" s="70" t="s">
        <v>37</v>
      </c>
      <c r="M15" s="71"/>
      <c r="N15" s="66">
        <f t="shared" si="0"/>
        <v>6.25</v>
      </c>
      <c r="O15" s="67">
        <f t="shared" si="1"/>
        <v>9.375</v>
      </c>
      <c r="P15" s="67"/>
      <c r="Q15" s="78">
        <f>IF(C15=0," ",(J15/$J$33)*$Q$9)</f>
        <v>6.875</v>
      </c>
      <c r="R15" s="78"/>
      <c r="S15" s="79"/>
      <c r="U15" s="9"/>
      <c r="V15" s="9"/>
    </row>
    <row r="16" spans="1:29" ht="12.75" customHeight="1" x14ac:dyDescent="0.2">
      <c r="A16" s="50" t="s">
        <v>4</v>
      </c>
      <c r="B16" s="51"/>
      <c r="C16" s="80" t="s">
        <v>39</v>
      </c>
      <c r="D16" s="80"/>
      <c r="E16" s="80"/>
      <c r="F16" s="80"/>
      <c r="G16" s="80"/>
      <c r="H16" s="80"/>
      <c r="I16" s="81"/>
      <c r="J16" s="56">
        <v>2</v>
      </c>
      <c r="K16" s="15"/>
      <c r="L16" s="34" t="s">
        <v>37</v>
      </c>
      <c r="M16" s="16"/>
      <c r="N16" s="29">
        <f t="shared" si="0"/>
        <v>6.25</v>
      </c>
      <c r="O16" s="30">
        <f t="shared" si="1"/>
        <v>9.375</v>
      </c>
      <c r="P16" s="30"/>
      <c r="Q16" s="82">
        <f t="shared" si="2"/>
        <v>6.875</v>
      </c>
      <c r="R16" s="82"/>
      <c r="S16" s="83"/>
      <c r="U16" s="9"/>
      <c r="V16" s="9"/>
    </row>
    <row r="17" spans="1:23" ht="12.75" customHeight="1" x14ac:dyDescent="0.2">
      <c r="A17" s="68" t="s">
        <v>5</v>
      </c>
      <c r="B17" s="69"/>
      <c r="C17" s="109" t="s">
        <v>40</v>
      </c>
      <c r="D17" s="109"/>
      <c r="E17" s="109"/>
      <c r="F17" s="109"/>
      <c r="G17" s="109"/>
      <c r="H17" s="109"/>
      <c r="I17" s="110"/>
      <c r="J17" s="63">
        <v>2</v>
      </c>
      <c r="K17" s="64"/>
      <c r="L17" s="70" t="s">
        <v>37</v>
      </c>
      <c r="M17" s="65"/>
      <c r="N17" s="66">
        <f t="shared" si="0"/>
        <v>6.25</v>
      </c>
      <c r="O17" s="67">
        <f t="shared" si="1"/>
        <v>9.375</v>
      </c>
      <c r="P17" s="67"/>
      <c r="Q17" s="78">
        <f>IF(C17=0," ",(J17/$J$33)*$Q$9)</f>
        <v>6.875</v>
      </c>
      <c r="R17" s="78"/>
      <c r="S17" s="79"/>
      <c r="U17" s="9"/>
      <c r="V17" s="9"/>
    </row>
    <row r="18" spans="1:23" ht="12.75" customHeight="1" x14ac:dyDescent="0.2">
      <c r="A18" s="50" t="s">
        <v>6</v>
      </c>
      <c r="B18" s="51"/>
      <c r="C18" s="80" t="s">
        <v>41</v>
      </c>
      <c r="D18" s="80"/>
      <c r="E18" s="80"/>
      <c r="F18" s="80"/>
      <c r="G18" s="80"/>
      <c r="H18" s="80"/>
      <c r="I18" s="81"/>
      <c r="J18" s="56">
        <v>1</v>
      </c>
      <c r="K18" s="15"/>
      <c r="L18" s="34" t="s">
        <v>37</v>
      </c>
      <c r="M18" s="16"/>
      <c r="N18" s="29">
        <f t="shared" si="0"/>
        <v>3.125</v>
      </c>
      <c r="O18" s="30">
        <f t="shared" si="1"/>
        <v>4.6875</v>
      </c>
      <c r="P18" s="30"/>
      <c r="Q18" s="82">
        <f t="shared" si="2"/>
        <v>3.4375</v>
      </c>
      <c r="R18" s="82"/>
      <c r="S18" s="83"/>
      <c r="U18" s="9"/>
      <c r="V18" s="9"/>
    </row>
    <row r="19" spans="1:23" ht="12.75" customHeight="1" x14ac:dyDescent="0.2">
      <c r="A19" s="68" t="s">
        <v>7</v>
      </c>
      <c r="B19" s="69"/>
      <c r="C19" s="109" t="s">
        <v>57</v>
      </c>
      <c r="D19" s="109"/>
      <c r="E19" s="109"/>
      <c r="F19" s="109"/>
      <c r="G19" s="109"/>
      <c r="H19" s="109"/>
      <c r="I19" s="110"/>
      <c r="J19" s="63">
        <v>1</v>
      </c>
      <c r="K19" s="64"/>
      <c r="L19" s="70" t="s">
        <v>37</v>
      </c>
      <c r="M19" s="65"/>
      <c r="N19" s="66">
        <f t="shared" si="0"/>
        <v>3.125</v>
      </c>
      <c r="O19" s="67">
        <f t="shared" si="1"/>
        <v>4.6875</v>
      </c>
      <c r="P19" s="67"/>
      <c r="Q19" s="78">
        <f t="shared" ref="Q19" si="3">IF(C19=0," ",(J19/$J$33)*$Q$9)</f>
        <v>3.4375</v>
      </c>
      <c r="R19" s="78"/>
      <c r="S19" s="79"/>
      <c r="U19" s="9"/>
      <c r="V19" s="9"/>
    </row>
    <row r="20" spans="1:23" ht="12.75" customHeight="1" x14ac:dyDescent="0.2">
      <c r="A20" s="50" t="s">
        <v>8</v>
      </c>
      <c r="B20" s="51"/>
      <c r="C20" s="80" t="s">
        <v>43</v>
      </c>
      <c r="D20" s="80"/>
      <c r="E20" s="80"/>
      <c r="F20" s="80"/>
      <c r="G20" s="80"/>
      <c r="H20" s="80"/>
      <c r="I20" s="81"/>
      <c r="J20" s="56">
        <v>2</v>
      </c>
      <c r="K20" s="15"/>
      <c r="L20" s="34" t="s">
        <v>44</v>
      </c>
      <c r="M20" s="16"/>
      <c r="N20" s="29">
        <f t="shared" si="0"/>
        <v>6.25</v>
      </c>
      <c r="O20" s="30">
        <f t="shared" si="1"/>
        <v>9.375</v>
      </c>
      <c r="P20" s="30"/>
      <c r="Q20" s="82">
        <f>IF(C20=0," ",(J20/$J$33)*$Q$9)</f>
        <v>6.875</v>
      </c>
      <c r="R20" s="82"/>
      <c r="S20" s="83"/>
      <c r="U20" s="9"/>
      <c r="V20" s="9"/>
    </row>
    <row r="21" spans="1:23" ht="12.75" customHeight="1" x14ac:dyDescent="0.2">
      <c r="A21" s="68" t="s">
        <v>9</v>
      </c>
      <c r="B21" s="69"/>
      <c r="C21" s="109" t="s">
        <v>45</v>
      </c>
      <c r="D21" s="109"/>
      <c r="E21" s="109"/>
      <c r="F21" s="109"/>
      <c r="G21" s="109"/>
      <c r="H21" s="109"/>
      <c r="I21" s="110"/>
      <c r="J21" s="63">
        <v>1</v>
      </c>
      <c r="K21" s="64"/>
      <c r="L21" s="70" t="s">
        <v>47</v>
      </c>
      <c r="M21" s="65"/>
      <c r="N21" s="66">
        <f t="shared" si="0"/>
        <v>3.125</v>
      </c>
      <c r="O21" s="67">
        <f t="shared" si="1"/>
        <v>4.6875</v>
      </c>
      <c r="P21" s="67"/>
      <c r="Q21" s="78">
        <f t="shared" si="2"/>
        <v>3.4375</v>
      </c>
      <c r="R21" s="78"/>
      <c r="S21" s="79"/>
      <c r="U21" s="9"/>
      <c r="V21" s="9"/>
    </row>
    <row r="22" spans="1:23" ht="12.75" customHeight="1" x14ac:dyDescent="0.2">
      <c r="A22" s="50" t="s">
        <v>17</v>
      </c>
      <c r="B22" s="51"/>
      <c r="C22" s="80" t="s">
        <v>46</v>
      </c>
      <c r="D22" s="80"/>
      <c r="E22" s="80"/>
      <c r="F22" s="80"/>
      <c r="G22" s="80"/>
      <c r="H22" s="80"/>
      <c r="I22" s="81"/>
      <c r="J22" s="56">
        <v>1</v>
      </c>
      <c r="K22" s="15"/>
      <c r="L22" s="34" t="s">
        <v>47</v>
      </c>
      <c r="M22" s="16"/>
      <c r="N22" s="29">
        <f t="shared" si="0"/>
        <v>3.125</v>
      </c>
      <c r="O22" s="30">
        <f t="shared" si="1"/>
        <v>4.6875</v>
      </c>
      <c r="P22" s="30"/>
      <c r="Q22" s="82">
        <f t="shared" si="2"/>
        <v>3.4375</v>
      </c>
      <c r="R22" s="82"/>
      <c r="S22" s="83"/>
      <c r="U22" s="9"/>
      <c r="V22" s="9"/>
      <c r="W22" s="9"/>
    </row>
    <row r="23" spans="1:23" ht="12.75" customHeight="1" x14ac:dyDescent="0.2">
      <c r="A23" s="68" t="s">
        <v>18</v>
      </c>
      <c r="B23" s="69"/>
      <c r="C23" s="109" t="s">
        <v>48</v>
      </c>
      <c r="D23" s="109"/>
      <c r="E23" s="109"/>
      <c r="F23" s="109"/>
      <c r="G23" s="109"/>
      <c r="H23" s="109"/>
      <c r="I23" s="110"/>
      <c r="J23" s="63">
        <v>2</v>
      </c>
      <c r="K23" s="64"/>
      <c r="L23" s="70" t="s">
        <v>49</v>
      </c>
      <c r="M23" s="65"/>
      <c r="N23" s="66">
        <f t="shared" si="0"/>
        <v>6.25</v>
      </c>
      <c r="O23" s="67">
        <f t="shared" si="1"/>
        <v>9.375</v>
      </c>
      <c r="P23" s="67"/>
      <c r="Q23" s="78">
        <f>IF(C23=0," ",(J23/$J$33)*$Q$9)</f>
        <v>6.875</v>
      </c>
      <c r="R23" s="78"/>
      <c r="S23" s="79"/>
      <c r="U23" s="9"/>
      <c r="V23" s="9"/>
    </row>
    <row r="24" spans="1:23" ht="12.75" customHeight="1" x14ac:dyDescent="0.2">
      <c r="A24" s="50" t="s">
        <v>19</v>
      </c>
      <c r="B24" s="51"/>
      <c r="C24" s="80" t="s">
        <v>50</v>
      </c>
      <c r="D24" s="80"/>
      <c r="E24" s="80"/>
      <c r="F24" s="80"/>
      <c r="G24" s="80"/>
      <c r="H24" s="80"/>
      <c r="I24" s="81"/>
      <c r="J24" s="56">
        <v>1</v>
      </c>
      <c r="K24" s="15"/>
      <c r="L24" s="34" t="s">
        <v>49</v>
      </c>
      <c r="M24" s="16"/>
      <c r="N24" s="29">
        <f t="shared" si="0"/>
        <v>3.125</v>
      </c>
      <c r="O24" s="30">
        <f t="shared" si="1"/>
        <v>4.6875</v>
      </c>
      <c r="P24" s="30"/>
      <c r="Q24" s="82">
        <f t="shared" si="2"/>
        <v>3.4375</v>
      </c>
      <c r="R24" s="82"/>
      <c r="S24" s="83"/>
      <c r="U24" s="9"/>
      <c r="V24" s="9"/>
    </row>
    <row r="25" spans="1:23" ht="12.75" customHeight="1" x14ac:dyDescent="0.2">
      <c r="A25" s="68" t="s">
        <v>20</v>
      </c>
      <c r="B25" s="69"/>
      <c r="C25" s="109" t="s">
        <v>53</v>
      </c>
      <c r="D25" s="109"/>
      <c r="E25" s="109"/>
      <c r="F25" s="109"/>
      <c r="G25" s="109"/>
      <c r="H25" s="109"/>
      <c r="I25" s="110"/>
      <c r="J25" s="63">
        <v>2</v>
      </c>
      <c r="K25" s="64"/>
      <c r="L25" s="70" t="s">
        <v>49</v>
      </c>
      <c r="M25" s="65"/>
      <c r="N25" s="66">
        <f t="shared" si="0"/>
        <v>6.25</v>
      </c>
      <c r="O25" s="67">
        <f t="shared" si="1"/>
        <v>9.375</v>
      </c>
      <c r="P25" s="67"/>
      <c r="Q25" s="78">
        <f t="shared" si="2"/>
        <v>6.875</v>
      </c>
      <c r="R25" s="78"/>
      <c r="S25" s="79"/>
      <c r="U25" s="9"/>
      <c r="V25" s="9"/>
    </row>
    <row r="26" spans="1:23" ht="12.75" customHeight="1" x14ac:dyDescent="0.2">
      <c r="A26" s="50" t="s">
        <v>21</v>
      </c>
      <c r="B26" s="51"/>
      <c r="C26" s="80" t="s">
        <v>54</v>
      </c>
      <c r="D26" s="80"/>
      <c r="E26" s="80"/>
      <c r="F26" s="80"/>
      <c r="G26" s="80"/>
      <c r="H26" s="80"/>
      <c r="I26" s="81"/>
      <c r="J26" s="56">
        <v>0.5</v>
      </c>
      <c r="K26" s="15"/>
      <c r="L26" s="34" t="s">
        <v>49</v>
      </c>
      <c r="M26" s="16"/>
      <c r="N26" s="29">
        <f t="shared" si="0"/>
        <v>1.5625</v>
      </c>
      <c r="O26" s="30">
        <f t="shared" si="1"/>
        <v>2.34375</v>
      </c>
      <c r="P26" s="30"/>
      <c r="Q26" s="82">
        <f t="shared" si="2"/>
        <v>1.71875</v>
      </c>
      <c r="R26" s="82"/>
      <c r="S26" s="83"/>
    </row>
    <row r="27" spans="1:23" ht="12.75" customHeight="1" x14ac:dyDescent="0.2">
      <c r="A27" s="68" t="s">
        <v>22</v>
      </c>
      <c r="B27" s="69"/>
      <c r="C27" s="109" t="s">
        <v>51</v>
      </c>
      <c r="D27" s="109"/>
      <c r="E27" s="109"/>
      <c r="F27" s="109"/>
      <c r="G27" s="109"/>
      <c r="H27" s="109"/>
      <c r="I27" s="110"/>
      <c r="J27" s="63">
        <v>1</v>
      </c>
      <c r="K27" s="64"/>
      <c r="L27" s="70" t="s">
        <v>49</v>
      </c>
      <c r="M27" s="65"/>
      <c r="N27" s="66">
        <f t="shared" si="0"/>
        <v>3.125</v>
      </c>
      <c r="O27" s="67">
        <f t="shared" si="1"/>
        <v>4.6875</v>
      </c>
      <c r="P27" s="67"/>
      <c r="Q27" s="78">
        <f t="shared" si="2"/>
        <v>3.4375</v>
      </c>
      <c r="R27" s="78"/>
      <c r="S27" s="79"/>
    </row>
    <row r="28" spans="1:23" ht="12.75" customHeight="1" x14ac:dyDescent="0.2">
      <c r="A28" s="50" t="s">
        <v>23</v>
      </c>
      <c r="B28" s="51"/>
      <c r="C28" s="80" t="s">
        <v>52</v>
      </c>
      <c r="D28" s="80"/>
      <c r="E28" s="80"/>
      <c r="F28" s="80"/>
      <c r="G28" s="80"/>
      <c r="H28" s="80"/>
      <c r="I28" s="81"/>
      <c r="J28" s="56">
        <v>2</v>
      </c>
      <c r="K28" s="15"/>
      <c r="L28" s="34" t="s">
        <v>49</v>
      </c>
      <c r="M28" s="16"/>
      <c r="N28" s="29">
        <f t="shared" si="0"/>
        <v>6.25</v>
      </c>
      <c r="O28" s="30">
        <f t="shared" si="1"/>
        <v>9.375</v>
      </c>
      <c r="P28" s="30"/>
      <c r="Q28" s="82">
        <f t="shared" si="2"/>
        <v>6.875</v>
      </c>
      <c r="R28" s="82"/>
      <c r="S28" s="83"/>
    </row>
    <row r="29" spans="1:23" ht="12.75" customHeight="1" x14ac:dyDescent="0.2">
      <c r="A29" s="68" t="s">
        <v>24</v>
      </c>
      <c r="B29" s="69"/>
      <c r="C29" s="109" t="s">
        <v>60</v>
      </c>
      <c r="D29" s="109"/>
      <c r="E29" s="109"/>
      <c r="F29" s="109"/>
      <c r="G29" s="109"/>
      <c r="H29" s="109"/>
      <c r="I29" s="110"/>
      <c r="J29" s="63">
        <v>3</v>
      </c>
      <c r="K29" s="64"/>
      <c r="L29" s="70" t="s">
        <v>37</v>
      </c>
      <c r="M29" s="65"/>
      <c r="N29" s="66">
        <f t="shared" si="0"/>
        <v>9.375</v>
      </c>
      <c r="O29" s="67">
        <f t="shared" si="1"/>
        <v>14.0625</v>
      </c>
      <c r="P29" s="67"/>
      <c r="Q29" s="78">
        <f t="shared" si="2"/>
        <v>10.3125</v>
      </c>
      <c r="R29" s="78"/>
      <c r="S29" s="79"/>
    </row>
    <row r="30" spans="1:23" ht="12.75" customHeight="1" x14ac:dyDescent="0.2">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x14ac:dyDescent="0.2">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x14ac:dyDescent="0.25">
      <c r="A32" s="31"/>
      <c r="B32" s="32"/>
      <c r="C32" s="18"/>
      <c r="D32" s="18"/>
      <c r="E32" s="18"/>
      <c r="F32" s="18"/>
      <c r="G32" s="18"/>
      <c r="H32" s="18"/>
      <c r="I32" s="18"/>
      <c r="J32" s="19"/>
      <c r="K32" s="20"/>
      <c r="L32" s="21"/>
      <c r="M32" s="21"/>
      <c r="N32" s="19"/>
      <c r="O32" s="19"/>
      <c r="P32" s="19"/>
      <c r="Q32" s="21"/>
      <c r="R32" s="21"/>
      <c r="S32" s="21"/>
    </row>
    <row r="33" spans="1:19" ht="14.25" customHeight="1" thickBot="1" x14ac:dyDescent="0.25">
      <c r="A33" s="113" t="s">
        <v>27</v>
      </c>
      <c r="B33" s="114"/>
      <c r="C33" s="114"/>
      <c r="D33" s="114"/>
      <c r="E33" s="114"/>
      <c r="F33" s="114"/>
      <c r="G33" s="114"/>
      <c r="H33" s="114"/>
      <c r="I33" s="115"/>
      <c r="J33" s="152">
        <v>16</v>
      </c>
      <c r="K33" s="153"/>
      <c r="L33" s="154"/>
      <c r="M33" s="43"/>
      <c r="N33" s="22"/>
      <c r="O33" s="11"/>
      <c r="P33" s="11"/>
      <c r="Q33" s="23"/>
      <c r="R33" s="23"/>
      <c r="S33" s="24"/>
    </row>
    <row r="34" spans="1:19" ht="2.25" customHeight="1" x14ac:dyDescent="0.2">
      <c r="A34" s="58"/>
      <c r="B34" s="58"/>
      <c r="C34" s="58"/>
      <c r="D34" s="58"/>
      <c r="E34" s="58"/>
      <c r="F34" s="58"/>
      <c r="G34" s="58"/>
      <c r="H34" s="55"/>
      <c r="I34" s="55"/>
      <c r="J34" s="55"/>
      <c r="K34" s="55"/>
      <c r="L34" s="55"/>
      <c r="M34" s="48"/>
      <c r="N34" s="48"/>
      <c r="O34" s="55"/>
      <c r="P34" s="55"/>
      <c r="Q34" s="55"/>
      <c r="R34" s="55"/>
      <c r="S34" s="55"/>
    </row>
    <row r="35" spans="1:19" ht="13.5" thickBot="1" x14ac:dyDescent="0.25">
      <c r="A35" s="25"/>
      <c r="B35" s="25"/>
      <c r="C35" s="25"/>
      <c r="D35" s="25"/>
      <c r="E35" s="25"/>
      <c r="F35" s="25"/>
      <c r="G35" s="25"/>
      <c r="H35" s="54"/>
      <c r="I35" s="54"/>
      <c r="J35" s="54"/>
      <c r="K35" s="54"/>
      <c r="L35" s="54"/>
      <c r="M35" s="54"/>
      <c r="N35" s="54"/>
      <c r="O35" s="54"/>
      <c r="P35" s="54"/>
      <c r="Q35" s="54"/>
      <c r="R35" s="54"/>
      <c r="S35" s="54"/>
    </row>
    <row r="36" spans="1:19" ht="12" customHeight="1" x14ac:dyDescent="0.2">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x14ac:dyDescent="0.2">
      <c r="A37" s="137" t="s">
        <v>59</v>
      </c>
      <c r="B37" s="138"/>
      <c r="C37" s="138"/>
      <c r="D37" s="138"/>
      <c r="E37" s="138"/>
      <c r="F37" s="138"/>
      <c r="G37" s="138"/>
      <c r="H37" s="138"/>
      <c r="I37" s="138"/>
      <c r="J37" s="138"/>
      <c r="K37" s="138"/>
      <c r="L37" s="138"/>
      <c r="M37" s="138"/>
      <c r="N37" s="138"/>
      <c r="O37" s="138"/>
      <c r="P37" s="138"/>
      <c r="Q37" s="138"/>
      <c r="R37" s="138"/>
      <c r="S37" s="139"/>
    </row>
    <row r="38" spans="1:19" ht="13.5" customHeight="1" x14ac:dyDescent="0.2">
      <c r="A38" s="140"/>
      <c r="B38" s="141"/>
      <c r="C38" s="141"/>
      <c r="D38" s="141"/>
      <c r="E38" s="141"/>
      <c r="F38" s="141"/>
      <c r="G38" s="141"/>
      <c r="H38" s="141"/>
      <c r="I38" s="141"/>
      <c r="J38" s="141"/>
      <c r="K38" s="141"/>
      <c r="L38" s="141"/>
      <c r="M38" s="141"/>
      <c r="N38" s="141"/>
      <c r="O38" s="141"/>
      <c r="P38" s="141"/>
      <c r="Q38" s="141"/>
      <c r="R38" s="141"/>
      <c r="S38" s="142"/>
    </row>
    <row r="39" spans="1:19" ht="13.5" customHeight="1" x14ac:dyDescent="0.2">
      <c r="A39" s="140"/>
      <c r="B39" s="141"/>
      <c r="C39" s="141"/>
      <c r="D39" s="141"/>
      <c r="E39" s="141"/>
      <c r="F39" s="141"/>
      <c r="G39" s="141"/>
      <c r="H39" s="141"/>
      <c r="I39" s="141"/>
      <c r="J39" s="141"/>
      <c r="K39" s="141"/>
      <c r="L39" s="141"/>
      <c r="M39" s="141"/>
      <c r="N39" s="141"/>
      <c r="O39" s="141"/>
      <c r="P39" s="141"/>
      <c r="Q39" s="141"/>
      <c r="R39" s="141"/>
      <c r="S39" s="142"/>
    </row>
    <row r="40" spans="1:19" ht="13.5" customHeight="1" x14ac:dyDescent="0.2">
      <c r="A40" s="140"/>
      <c r="B40" s="141"/>
      <c r="C40" s="141"/>
      <c r="D40" s="141"/>
      <c r="E40" s="141"/>
      <c r="F40" s="141"/>
      <c r="G40" s="141"/>
      <c r="H40" s="141"/>
      <c r="I40" s="141"/>
      <c r="J40" s="141"/>
      <c r="K40" s="141"/>
      <c r="L40" s="141"/>
      <c r="M40" s="141"/>
      <c r="N40" s="141"/>
      <c r="O40" s="141"/>
      <c r="P40" s="141"/>
      <c r="Q40" s="141"/>
      <c r="R40" s="141"/>
      <c r="S40" s="142"/>
    </row>
    <row r="41" spans="1:19" ht="13.5" customHeight="1" x14ac:dyDescent="0.2">
      <c r="A41" s="140"/>
      <c r="B41" s="141"/>
      <c r="C41" s="141"/>
      <c r="D41" s="141"/>
      <c r="E41" s="141"/>
      <c r="F41" s="141"/>
      <c r="G41" s="141"/>
      <c r="H41" s="141"/>
      <c r="I41" s="141"/>
      <c r="J41" s="141"/>
      <c r="K41" s="141"/>
      <c r="L41" s="141"/>
      <c r="M41" s="141"/>
      <c r="N41" s="141"/>
      <c r="O41" s="141"/>
      <c r="P41" s="141"/>
      <c r="Q41" s="141"/>
      <c r="R41" s="141"/>
      <c r="S41" s="142"/>
    </row>
    <row r="42" spans="1:19" ht="13.5" customHeight="1" x14ac:dyDescent="0.2">
      <c r="A42" s="140"/>
      <c r="B42" s="141"/>
      <c r="C42" s="141"/>
      <c r="D42" s="141"/>
      <c r="E42" s="141"/>
      <c r="F42" s="141"/>
      <c r="G42" s="141"/>
      <c r="H42" s="141"/>
      <c r="I42" s="141"/>
      <c r="J42" s="141"/>
      <c r="K42" s="141"/>
      <c r="L42" s="141"/>
      <c r="M42" s="141"/>
      <c r="N42" s="141"/>
      <c r="O42" s="141"/>
      <c r="P42" s="141"/>
      <c r="Q42" s="141"/>
      <c r="R42" s="141"/>
      <c r="S42" s="142"/>
    </row>
    <row r="43" spans="1:19" ht="12" customHeight="1" x14ac:dyDescent="0.2">
      <c r="A43" s="140"/>
      <c r="B43" s="141"/>
      <c r="C43" s="141"/>
      <c r="D43" s="141"/>
      <c r="E43" s="141"/>
      <c r="F43" s="141"/>
      <c r="G43" s="141"/>
      <c r="H43" s="141"/>
      <c r="I43" s="141"/>
      <c r="J43" s="141"/>
      <c r="K43" s="141"/>
      <c r="L43" s="141"/>
      <c r="M43" s="141"/>
      <c r="N43" s="141"/>
      <c r="O43" s="141"/>
      <c r="P43" s="141"/>
      <c r="Q43" s="141"/>
      <c r="R43" s="141"/>
      <c r="S43" s="142"/>
    </row>
    <row r="44" spans="1:19" ht="13.5" customHeight="1" x14ac:dyDescent="0.2">
      <c r="A44" s="140"/>
      <c r="B44" s="141"/>
      <c r="C44" s="141"/>
      <c r="D44" s="141"/>
      <c r="E44" s="141"/>
      <c r="F44" s="141"/>
      <c r="G44" s="141"/>
      <c r="H44" s="141"/>
      <c r="I44" s="141"/>
      <c r="J44" s="141"/>
      <c r="K44" s="141"/>
      <c r="L44" s="141"/>
      <c r="M44" s="141"/>
      <c r="N44" s="141"/>
      <c r="O44" s="141"/>
      <c r="P44" s="141"/>
      <c r="Q44" s="141"/>
      <c r="R44" s="141"/>
      <c r="S44" s="142"/>
    </row>
    <row r="45" spans="1:19" ht="13.5" customHeight="1" x14ac:dyDescent="0.2">
      <c r="A45" s="140"/>
      <c r="B45" s="141"/>
      <c r="C45" s="141"/>
      <c r="D45" s="141"/>
      <c r="E45" s="141"/>
      <c r="F45" s="141"/>
      <c r="G45" s="141"/>
      <c r="H45" s="141"/>
      <c r="I45" s="141"/>
      <c r="J45" s="141"/>
      <c r="K45" s="141"/>
      <c r="L45" s="141"/>
      <c r="M45" s="141"/>
      <c r="N45" s="141"/>
      <c r="O45" s="141"/>
      <c r="P45" s="141"/>
      <c r="Q45" s="141"/>
      <c r="R45" s="141"/>
      <c r="S45" s="142"/>
    </row>
    <row r="46" spans="1:19" ht="13.5" customHeight="1" x14ac:dyDescent="0.2">
      <c r="A46" s="140"/>
      <c r="B46" s="141"/>
      <c r="C46" s="141"/>
      <c r="D46" s="141"/>
      <c r="E46" s="141"/>
      <c r="F46" s="141"/>
      <c r="G46" s="141"/>
      <c r="H46" s="141"/>
      <c r="I46" s="141"/>
      <c r="J46" s="141"/>
      <c r="K46" s="141"/>
      <c r="L46" s="141"/>
      <c r="M46" s="141"/>
      <c r="N46" s="141"/>
      <c r="O46" s="141"/>
      <c r="P46" s="141"/>
      <c r="Q46" s="141"/>
      <c r="R46" s="141"/>
      <c r="S46" s="142"/>
    </row>
    <row r="47" spans="1:19" ht="13.5" customHeight="1" x14ac:dyDescent="0.2">
      <c r="A47" s="140"/>
      <c r="B47" s="141"/>
      <c r="C47" s="141"/>
      <c r="D47" s="141"/>
      <c r="E47" s="141"/>
      <c r="F47" s="141"/>
      <c r="G47" s="141"/>
      <c r="H47" s="141"/>
      <c r="I47" s="141"/>
      <c r="J47" s="141"/>
      <c r="K47" s="141"/>
      <c r="L47" s="141"/>
      <c r="M47" s="141"/>
      <c r="N47" s="141"/>
      <c r="O47" s="141"/>
      <c r="P47" s="141"/>
      <c r="Q47" s="141"/>
      <c r="R47" s="141"/>
      <c r="S47" s="142"/>
    </row>
    <row r="48" spans="1:19" ht="13.5" customHeight="1" x14ac:dyDescent="0.2">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x14ac:dyDescent="0.25">
      <c r="A49" s="143"/>
      <c r="B49" s="144"/>
      <c r="C49" s="144"/>
      <c r="D49" s="144"/>
      <c r="E49" s="144"/>
      <c r="F49" s="144"/>
      <c r="G49" s="144"/>
      <c r="H49" s="144"/>
      <c r="I49" s="144"/>
      <c r="J49" s="144"/>
      <c r="K49" s="144"/>
      <c r="L49" s="144"/>
      <c r="M49" s="144"/>
      <c r="N49" s="144"/>
      <c r="O49" s="144"/>
      <c r="P49" s="144"/>
      <c r="Q49" s="144"/>
      <c r="R49" s="144"/>
      <c r="S49" s="145"/>
    </row>
    <row r="50" spans="1:21" ht="12" customHeight="1" thickBot="1" x14ac:dyDescent="0.25">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x14ac:dyDescent="0.2">
      <c r="A51" s="158" t="s">
        <v>56</v>
      </c>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x14ac:dyDescent="0.2">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x14ac:dyDescent="0.25">
      <c r="A53" s="161"/>
      <c r="B53" s="162"/>
      <c r="C53" s="162"/>
      <c r="D53" s="162"/>
      <c r="E53" s="162"/>
      <c r="F53" s="162"/>
      <c r="G53" s="162"/>
      <c r="H53" s="162"/>
      <c r="I53" s="162"/>
      <c r="J53" s="162"/>
      <c r="K53" s="162"/>
      <c r="L53" s="162"/>
      <c r="M53" s="162"/>
      <c r="N53" s="162"/>
      <c r="O53" s="162"/>
      <c r="P53" s="162"/>
      <c r="Q53" s="163"/>
      <c r="R53" s="150"/>
      <c r="S53" s="151"/>
    </row>
    <row r="54" spans="1:21" ht="11.25" customHeight="1" x14ac:dyDescent="0.2">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x14ac:dyDescent="0.2">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x14ac:dyDescent="0.2">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x14ac:dyDescent="0.25">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horizontalDpi="4294967295" verticalDpi="4294967295"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eastman</dc:creator>
  <cp:lastModifiedBy>Daniel Eastman</cp:lastModifiedBy>
  <cp:lastPrinted>2018-09-04T22:57:15Z</cp:lastPrinted>
  <dcterms:created xsi:type="dcterms:W3CDTF">2000-10-24T15:57:25Z</dcterms:created>
  <dcterms:modified xsi:type="dcterms:W3CDTF">2022-02-28T21:40:54Z</dcterms:modified>
</cp:coreProperties>
</file>