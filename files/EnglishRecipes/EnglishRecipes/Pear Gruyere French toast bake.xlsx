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<sst xmlns="http://schemas.openxmlformats.org/spreadsheetml/2006/main" count="59" uniqueCount="52">
  <si>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</si>
  <si>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</si>
  <si>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</si>
  <si>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</si>
  <si>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</si>
  <si>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</si>
  <si>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</si>
  <si>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</si>
  <si>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</si>
  <si>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</si>
  <si>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</si>
  <si>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</si>
  <si>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</si>
  <si>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</si>
  <si>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</si>
  <si>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</si>
  <si>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</si>
  <si>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</si>
  <si>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</si>
  <si>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</si>
  <si>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</si>
  <si>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</si>
  <si>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</si>
  <si>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</si>
  <si>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</si>
  <si>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</si>
  <si>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</si>
  <si>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</si>
  <si>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</si>
  <si>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</si>
  <si>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</si>
  <si>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</si>
  <si>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</si>
  <si>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</si>
  <si>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</si>
  <si>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</si>
  <si>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</t>
  </si>
  <si>
    <t>eggs</t>
  </si>
  <si>
    <t>milk</t>
  </si>
  <si>
    <t>vanilla</t>
  </si>
  <si>
    <t>t</t>
  </si>
  <si>
    <t>ct</t>
  </si>
  <si>
    <t>sugar</t>
  </si>
  <si>
    <t>kosher salt</t>
  </si>
  <si>
    <t>cinnamon</t>
  </si>
  <si>
    <t>pears</t>
  </si>
  <si>
    <t>butter</t>
  </si>
  <si>
    <t>T</t>
  </si>
  <si>
    <t>Gruyere -shredded</t>
  </si>
  <si>
    <t>Pear/Gruyere French Toast</t>
  </si>
  <si>
    <t>French/Italian bread -cubed</t>
  </si>
  <si>
    <t>Combine bread and pears.   Whisk eggs, milk, sugar, cinnamon, vanilla, and 3/4 of the cheese.   Pour over bread, cover and refrigerate overnight.  Pull 30-45 before baking. Bake covered @ 350 for 50-60 mins. Remove cover, sprinkle with remaining cheese, put back in oven till cheese melts.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</si>
</sst>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3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49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50</v>
      </c>
      <c r="D12" s="111"/>
      <c r="E12" s="111"/>
      <c r="F12" s="111"/>
      <c r="G12" s="111"/>
      <c r="H12" s="111"/>
      <c r="I12" s="112"/>
      <c r="J12" s="56">
        <v>7</v>
      </c>
      <c r="K12" s="15"/>
      <c r="L12" s="33" t="s">
        <v>36</v>
      </c>
      <c r="M12" s="16"/>
      <c r="N12" s="29">
        <f t="shared" ref="N12:N31" si="0">IF(C12=0," ",(J12/$J$33)*50)</f>
        <v>58.333333333333336</v>
      </c>
      <c r="O12" s="30">
        <f t="shared" ref="O12:O31" si="1">IF(C12=0," ",(J12/$J$33)*75)</f>
        <v>87.5</v>
      </c>
      <c r="P12" s="30"/>
      <c r="Q12" s="82">
        <f t="shared" ref="Q12:Q31" si="2">IF(C12=0," ",(J12/$J$33)*$Q$9)</f>
        <v>81.666666666666671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37</v>
      </c>
      <c r="D13" s="109"/>
      <c r="E13" s="109"/>
      <c r="F13" s="109"/>
      <c r="G13" s="109"/>
      <c r="H13" s="109"/>
      <c r="I13" s="110"/>
      <c r="J13" s="63">
        <v>6</v>
      </c>
      <c r="K13" s="64"/>
      <c r="L13" s="70" t="s">
        <v>41</v>
      </c>
      <c r="M13" s="65"/>
      <c r="N13" s="66">
        <f t="shared" si="0"/>
        <v>50</v>
      </c>
      <c r="O13" s="67">
        <f t="shared" si="1"/>
        <v>75</v>
      </c>
      <c r="P13" s="67"/>
      <c r="Q13" s="78">
        <f>IF(C13=0," ",(J13/$J$33)*$Q$9)</f>
        <v>70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38</v>
      </c>
      <c r="D14" s="80"/>
      <c r="E14" s="80"/>
      <c r="F14" s="80"/>
      <c r="G14" s="80"/>
      <c r="H14" s="80"/>
      <c r="I14" s="81"/>
      <c r="J14" s="56">
        <v>2.5</v>
      </c>
      <c r="K14" s="15"/>
      <c r="L14" s="34" t="s">
        <v>36</v>
      </c>
      <c r="M14" s="16"/>
      <c r="N14" s="29">
        <f t="shared" si="0"/>
        <v>20.833333333333336</v>
      </c>
      <c r="O14" s="30">
        <f t="shared" si="1"/>
        <v>31.25</v>
      </c>
      <c r="P14" s="30"/>
      <c r="Q14" s="82">
        <f>IF(C14=0," ",(J14/$J$33)*$Q$9)</f>
        <v>29.166666666666668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39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40</v>
      </c>
      <c r="M15" s="71"/>
      <c r="N15" s="66">
        <f t="shared" si="0"/>
        <v>8.3333333333333321</v>
      </c>
      <c r="O15" s="67">
        <f t="shared" si="1"/>
        <v>12.5</v>
      </c>
      <c r="P15" s="67"/>
      <c r="Q15" s="78">
        <f>IF(C15=0," ",(J15/$J$33)*$Q$9)</f>
        <v>11.666666666666666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42</v>
      </c>
      <c r="D16" s="80"/>
      <c r="E16" s="80"/>
      <c r="F16" s="80"/>
      <c r="G16" s="80"/>
      <c r="H16" s="80"/>
      <c r="I16" s="81"/>
      <c r="J16" s="56">
        <v>2</v>
      </c>
      <c r="K16" s="15"/>
      <c r="L16" s="34" t="s">
        <v>47</v>
      </c>
      <c r="M16" s="16"/>
      <c r="N16" s="29">
        <f t="shared" si="0"/>
        <v>16.666666666666664</v>
      </c>
      <c r="O16" s="30">
        <f t="shared" si="1"/>
        <v>25</v>
      </c>
      <c r="P16" s="30"/>
      <c r="Q16" s="82">
        <f t="shared" si="2"/>
        <v>23.333333333333332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43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40</v>
      </c>
      <c r="M17" s="65"/>
      <c r="N17" s="66">
        <f t="shared" si="0"/>
        <v>8.3333333333333321</v>
      </c>
      <c r="O17" s="67">
        <f t="shared" si="1"/>
        <v>12.5</v>
      </c>
      <c r="P17" s="67"/>
      <c r="Q17" s="78">
        <f>IF(C17=0," ",(J17/$J$33)*$Q$9)</f>
        <v>11.666666666666666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44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40</v>
      </c>
      <c r="M18" s="16"/>
      <c r="N18" s="29">
        <f t="shared" si="0"/>
        <v>8.3333333333333321</v>
      </c>
      <c r="O18" s="30">
        <f t="shared" si="1"/>
        <v>12.5</v>
      </c>
      <c r="P18" s="30"/>
      <c r="Q18" s="82">
        <f t="shared" si="2"/>
        <v>11.666666666666666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45</v>
      </c>
      <c r="D19" s="109"/>
      <c r="E19" s="109"/>
      <c r="F19" s="109"/>
      <c r="G19" s="109"/>
      <c r="H19" s="109"/>
      <c r="I19" s="110"/>
      <c r="J19" s="63">
        <v>2</v>
      </c>
      <c r="K19" s="64"/>
      <c r="L19" s="70" t="s">
        <v>41</v>
      </c>
      <c r="M19" s="65"/>
      <c r="N19" s="66">
        <f t="shared" si="0"/>
        <v>16.666666666666664</v>
      </c>
      <c r="O19" s="67">
        <f t="shared" si="1"/>
        <v>25</v>
      </c>
      <c r="P19" s="67"/>
      <c r="Q19" s="78">
        <f t="shared" ref="Q19" si="3">IF(C19=0," ",(J19/$J$33)*$Q$9)</f>
        <v>23.333333333333332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48</v>
      </c>
      <c r="D20" s="80"/>
      <c r="E20" s="80"/>
      <c r="F20" s="80"/>
      <c r="G20" s="80"/>
      <c r="H20" s="80"/>
      <c r="I20" s="81"/>
      <c r="J20" s="56">
        <v>1</v>
      </c>
      <c r="K20" s="15"/>
      <c r="L20" s="34" t="s">
        <v>36</v>
      </c>
      <c r="M20" s="16"/>
      <c r="N20" s="29">
        <f t="shared" si="0"/>
        <v>8.3333333333333321</v>
      </c>
      <c r="O20" s="30">
        <f t="shared" si="1"/>
        <v>12.5</v>
      </c>
      <c r="P20" s="30"/>
      <c r="Q20" s="82">
        <f>IF(C20=0," ",(J20/$J$33)*$Q$9)</f>
        <v>11.666666666666666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 t="s">
        <v>46</v>
      </c>
      <c r="D21" s="109"/>
      <c r="E21" s="109"/>
      <c r="F21" s="109"/>
      <c r="G21" s="109"/>
      <c r="H21" s="109"/>
      <c r="I21" s="110"/>
      <c r="J21" s="63">
        <v>2</v>
      </c>
      <c r="K21" s="64"/>
      <c r="L21" s="70" t="s">
        <v>47</v>
      </c>
      <c r="M21" s="65"/>
      <c r="N21" s="66">
        <f t="shared" si="0"/>
        <v>16.666666666666664</v>
      </c>
      <c r="O21" s="67">
        <f t="shared" si="1"/>
        <v>25</v>
      </c>
      <c r="P21" s="67"/>
      <c r="Q21" s="78">
        <f t="shared" si="2"/>
        <v>23.333333333333332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51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2011-07-19T18:00:15Z</dcterms:modified>
</cp:coreProperties>
</file>