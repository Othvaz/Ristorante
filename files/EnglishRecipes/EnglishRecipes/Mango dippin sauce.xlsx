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25725" calcMode="autoNoTable"/>
</workbook>
</file>

<file path=xl/calcChain.xml><?xml version="1.0" encoding="utf-8"?>
<calcChain xmlns="http://schemas.openxmlformats.org/spreadsheetml/2006/main">
  <c r="Q19" i="1"/>
  <c r="N12"/>
  <c r="O12"/>
  <c r="N18"/>
  <c r="N23"/>
  <c r="O23"/>
  <c r="Q23"/>
  <c r="Q13"/>
  <c r="Q15"/>
  <c r="Q14"/>
  <c r="O13"/>
  <c r="N13"/>
  <c r="N20"/>
  <c r="O20"/>
  <c r="Q20"/>
  <c r="N17"/>
  <c r="O17"/>
  <c r="Q17"/>
  <c r="R51"/>
  <c r="R54"/>
  <c r="Q16"/>
  <c r="Q18"/>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<sst xmlns="http://schemas.openxmlformats.org/spreadsheetml/2006/main" count="51" uniqueCount="46">
  <si>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</si>
  <si>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</si>
  <si>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</si>
  <si>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</si>
  <si>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</si>
  <si>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</si>
  <si>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</si>
  <si>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</si>
  <si>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</si>
  <si>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</si>
  <si>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</si>
  <si>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</si>
  <si>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</si>
  <si>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</si>
  <si>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</si>
  <si>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</si>
  <si>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</si>
  <si>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</si>
  <si>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</si>
  <si>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</si>
  <si>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</si>
  <si>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</si>
  <si>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</si>
  <si>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</si>
  <si>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</si>
  <si>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</si>
  <si>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</si>
  <si>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</si>
  <si>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</si>
  <si>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</si>
  <si>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</si>
  <si>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</si>
  <si>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</si>
  <si>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</si>
  <si>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</si>
  <si>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</si>
  <si>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Mango dipping Sauce</t>
  </si>
  <si>
    <t>Red wine Vinegar</t>
  </si>
  <si>
    <t>sugar</t>
  </si>
  <si>
    <t>mango -pureed</t>
  </si>
  <si>
    <t>lime juice</t>
  </si>
  <si>
    <t>Red bell pepper  -small dice</t>
  </si>
  <si>
    <t>Grn bell pepper  -small dice</t>
  </si>
  <si>
    <t>c</t>
  </si>
  <si>
    <t>ct</t>
  </si>
  <si>
    <t>Bring vinegar and sugar to boil and then lower heat to medium and cook until syrupy consistency. When cooled, add to blender with mango puree and lime juice. Stir in chopped peppers.</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</si>
</sst>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topLeftCell="A7" zoomScaleNormal="100" zoomScaleSheetLayoutView="110" workbookViewId="0">
      <selection activeCell="Q10" sqref="Q10"/>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142" t="s">
        <v>35</v>
      </c>
      <c r="E1" s="142"/>
      <c r="F1" s="42"/>
      <c r="G1" s="145" t="s">
        <v>36</v>
      </c>
      <c r="H1" s="145"/>
      <c r="I1" s="145"/>
      <c r="J1" s="145"/>
      <c r="K1" s="145"/>
      <c r="L1" s="145"/>
      <c r="M1" s="145"/>
      <c r="N1" s="145"/>
      <c r="O1" s="145"/>
      <c r="P1" s="46"/>
      <c r="Q1" s="122"/>
      <c r="R1" s="123"/>
      <c r="S1" s="124"/>
      <c r="T1" s="1"/>
      <c r="U1" s="1"/>
      <c r="V1" s="1"/>
      <c r="W1" s="1"/>
      <c r="X1" s="1"/>
      <c r="Y1" s="1"/>
      <c r="Z1" s="1"/>
      <c r="AA1" s="1"/>
    </row>
    <row r="2" spans="1:29" ht="18" customHeight="1" thickBot="1">
      <c r="A2" s="25"/>
      <c r="B2" s="25"/>
      <c r="C2" s="26"/>
      <c r="D2" s="142" t="s">
        <v>34</v>
      </c>
      <c r="E2" s="142"/>
      <c r="F2" s="41"/>
      <c r="G2" s="146"/>
      <c r="H2" s="147"/>
      <c r="I2" s="147"/>
      <c r="J2" s="147"/>
      <c r="K2" s="147"/>
      <c r="L2" s="147"/>
      <c r="M2" s="147"/>
      <c r="N2" s="147"/>
      <c r="O2" s="148"/>
      <c r="P2" s="39"/>
      <c r="Q2" s="122"/>
      <c r="R2" s="123"/>
      <c r="S2" s="124"/>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143" t="s">
        <v>29</v>
      </c>
      <c r="B4" s="144"/>
      <c r="C4" s="144"/>
      <c r="D4" s="149"/>
      <c r="E4" s="150"/>
      <c r="F4" s="150"/>
      <c r="G4" s="150"/>
      <c r="H4" s="150"/>
      <c r="I4" s="150"/>
      <c r="J4" s="150"/>
      <c r="K4" s="150"/>
      <c r="L4" s="150"/>
      <c r="M4" s="150"/>
      <c r="N4" s="150"/>
      <c r="O4" s="151"/>
      <c r="P4" s="40"/>
      <c r="Q4" s="125" t="s">
        <v>30</v>
      </c>
      <c r="R4" s="125"/>
      <c r="S4" s="125"/>
      <c r="T4" s="4"/>
      <c r="U4" s="4"/>
      <c r="V4" s="4"/>
      <c r="W4" s="4"/>
      <c r="X4" s="4"/>
      <c r="Y4" s="5"/>
      <c r="Z4" s="5"/>
      <c r="AA4" s="5"/>
      <c r="AB4" s="10"/>
    </row>
    <row r="5" spans="1:29" ht="12.75" customHeight="1">
      <c r="A5" s="59"/>
      <c r="B5" s="60"/>
      <c r="C5" s="60"/>
      <c r="D5" s="152"/>
      <c r="E5" s="152"/>
      <c r="F5" s="152"/>
      <c r="G5" s="152"/>
      <c r="H5" s="152"/>
      <c r="I5" s="152"/>
      <c r="J5" s="152"/>
      <c r="K5" s="152"/>
      <c r="L5" s="152"/>
      <c r="M5" s="152"/>
      <c r="N5" s="152"/>
      <c r="O5" s="153"/>
      <c r="P5" s="40"/>
      <c r="Q5" s="28"/>
      <c r="R5" s="28"/>
      <c r="S5" s="28"/>
      <c r="T5" s="4"/>
      <c r="U5" s="4"/>
      <c r="V5" s="4"/>
      <c r="W5" s="4"/>
      <c r="X5" s="4"/>
      <c r="Y5" s="5"/>
      <c r="Z5" s="5"/>
      <c r="AA5" s="5"/>
      <c r="AB5" s="10"/>
    </row>
    <row r="6" spans="1:29" ht="12.75" customHeight="1" thickBot="1">
      <c r="A6" s="61"/>
      <c r="B6" s="62"/>
      <c r="C6" s="62"/>
      <c r="D6" s="154"/>
      <c r="E6" s="154"/>
      <c r="F6" s="154"/>
      <c r="G6" s="154"/>
      <c r="H6" s="154"/>
      <c r="I6" s="154"/>
      <c r="J6" s="154"/>
      <c r="K6" s="154"/>
      <c r="L6" s="154"/>
      <c r="M6" s="154"/>
      <c r="N6" s="154"/>
      <c r="O6" s="155"/>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160" t="s">
        <v>10</v>
      </c>
      <c r="R7" s="160"/>
      <c r="S7" s="160"/>
      <c r="T7" s="4"/>
      <c r="U7" s="4"/>
      <c r="V7" s="4"/>
      <c r="W7" s="4"/>
      <c r="X7" s="4"/>
      <c r="Y7" s="5"/>
      <c r="Z7" s="5"/>
      <c r="AA7" s="5"/>
      <c r="AB7" s="10"/>
    </row>
    <row r="8" spans="1:29" ht="14.25" customHeight="1" thickBot="1">
      <c r="A8" s="156" t="s">
        <v>31</v>
      </c>
      <c r="B8" s="157"/>
      <c r="C8" s="157"/>
      <c r="D8" s="53"/>
      <c r="E8" s="158"/>
      <c r="F8" s="158"/>
      <c r="G8" s="158"/>
      <c r="H8" s="158"/>
      <c r="I8" s="158"/>
      <c r="J8" s="158"/>
      <c r="K8" s="158"/>
      <c r="L8" s="158"/>
      <c r="M8" s="158"/>
      <c r="N8" s="158"/>
      <c r="O8" s="159"/>
      <c r="P8" s="40"/>
      <c r="Q8" s="161" t="s">
        <v>32</v>
      </c>
      <c r="R8" s="161"/>
      <c r="S8" s="161"/>
      <c r="T8" s="4"/>
      <c r="U8" s="4"/>
      <c r="V8" s="4"/>
      <c r="W8" s="4"/>
      <c r="X8" s="4"/>
      <c r="Y8" s="5"/>
      <c r="Z8" s="5"/>
      <c r="AA8" s="5"/>
      <c r="AB8" s="10"/>
    </row>
    <row r="9" spans="1:29" ht="14.25" customHeight="1" thickBot="1">
      <c r="A9" s="162" t="s">
        <v>33</v>
      </c>
      <c r="B9" s="163"/>
      <c r="C9" s="163"/>
      <c r="D9" s="57"/>
      <c r="E9" s="164"/>
      <c r="F9" s="165"/>
      <c r="G9" s="165"/>
      <c r="H9" s="165"/>
      <c r="I9" s="165"/>
      <c r="J9" s="165"/>
      <c r="K9" s="165"/>
      <c r="L9" s="165"/>
      <c r="M9" s="165"/>
      <c r="N9" s="165"/>
      <c r="O9" s="166"/>
      <c r="P9" s="27"/>
      <c r="Q9" s="127">
        <v>70</v>
      </c>
      <c r="R9" s="128"/>
      <c r="S9" s="129"/>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33" t="s">
        <v>28</v>
      </c>
      <c r="B11" s="134"/>
      <c r="C11" s="134"/>
      <c r="D11" s="134"/>
      <c r="E11" s="134"/>
      <c r="F11" s="134"/>
      <c r="G11" s="134"/>
      <c r="H11" s="134"/>
      <c r="I11" s="135"/>
      <c r="J11" s="12" t="s">
        <v>10</v>
      </c>
      <c r="K11" s="13"/>
      <c r="L11" s="12" t="s">
        <v>11</v>
      </c>
      <c r="M11" s="14"/>
      <c r="N11" s="12" t="s">
        <v>14</v>
      </c>
      <c r="O11" s="12" t="s">
        <v>16</v>
      </c>
      <c r="P11" s="12"/>
      <c r="Q11" s="126" t="s">
        <v>15</v>
      </c>
      <c r="R11" s="126"/>
      <c r="S11" s="126"/>
      <c r="T11" s="10"/>
      <c r="U11" s="10"/>
      <c r="V11" s="10"/>
      <c r="W11" s="10"/>
      <c r="X11" s="10"/>
      <c r="Y11" s="10"/>
      <c r="Z11" s="10"/>
      <c r="AA11" s="10"/>
      <c r="AB11" s="10"/>
    </row>
    <row r="12" spans="1:29" ht="12.75" customHeight="1">
      <c r="A12" s="44" t="s">
        <v>0</v>
      </c>
      <c r="B12" s="45"/>
      <c r="C12" s="140" t="s">
        <v>37</v>
      </c>
      <c r="D12" s="140"/>
      <c r="E12" s="140"/>
      <c r="F12" s="140"/>
      <c r="G12" s="140"/>
      <c r="H12" s="140"/>
      <c r="I12" s="141"/>
      <c r="J12" s="56">
        <v>1</v>
      </c>
      <c r="K12" s="15"/>
      <c r="L12" s="33" t="s">
        <v>43</v>
      </c>
      <c r="M12" s="16"/>
      <c r="N12" s="29">
        <f t="shared" ref="N12:N31" si="0">IF(C12=0," ",(J12/$J$33)*50)</f>
        <v>6.25</v>
      </c>
      <c r="O12" s="30">
        <f t="shared" ref="O12:O31" si="1">IF(C12=0," ",(J12/$J$33)*75)</f>
        <v>9.375</v>
      </c>
      <c r="P12" s="30"/>
      <c r="Q12" s="86">
        <f t="shared" ref="Q12:Q31" si="2">IF(C12=0," ",(J12/$J$33)*$Q$9)</f>
        <v>8.75</v>
      </c>
      <c r="R12" s="86"/>
      <c r="S12" s="87"/>
      <c r="U12" s="9"/>
      <c r="V12" s="9"/>
    </row>
    <row r="13" spans="1:29" ht="12.75" customHeight="1">
      <c r="A13" s="68" t="s">
        <v>1</v>
      </c>
      <c r="B13" s="69"/>
      <c r="C13" s="103" t="s">
        <v>38</v>
      </c>
      <c r="D13" s="103"/>
      <c r="E13" s="103"/>
      <c r="F13" s="103"/>
      <c r="G13" s="103"/>
      <c r="H13" s="103"/>
      <c r="I13" s="104"/>
      <c r="J13" s="63">
        <v>0.5</v>
      </c>
      <c r="K13" s="64"/>
      <c r="L13" s="70" t="s">
        <v>43</v>
      </c>
      <c r="M13" s="65"/>
      <c r="N13" s="66">
        <f t="shared" si="0"/>
        <v>3.125</v>
      </c>
      <c r="O13" s="67">
        <f t="shared" si="1"/>
        <v>4.6875</v>
      </c>
      <c r="P13" s="67"/>
      <c r="Q13" s="84">
        <f>IF(C13=0," ",(J13/$J$33)*$Q$9)</f>
        <v>4.375</v>
      </c>
      <c r="R13" s="84"/>
      <c r="S13" s="85"/>
      <c r="U13" s="9"/>
      <c r="V13" s="9"/>
    </row>
    <row r="14" spans="1:29" ht="12.75" customHeight="1">
      <c r="A14" s="50" t="s">
        <v>2</v>
      </c>
      <c r="B14" s="51"/>
      <c r="C14" s="105" t="s">
        <v>39</v>
      </c>
      <c r="D14" s="105"/>
      <c r="E14" s="105"/>
      <c r="F14" s="105"/>
      <c r="G14" s="105"/>
      <c r="H14" s="105"/>
      <c r="I14" s="106"/>
      <c r="J14" s="56">
        <v>0.5</v>
      </c>
      <c r="K14" s="15"/>
      <c r="L14" s="34" t="s">
        <v>44</v>
      </c>
      <c r="M14" s="16"/>
      <c r="N14" s="29">
        <f t="shared" si="0"/>
        <v>3.125</v>
      </c>
      <c r="O14" s="30">
        <f t="shared" si="1"/>
        <v>4.6875</v>
      </c>
      <c r="P14" s="30"/>
      <c r="Q14" s="86">
        <f>IF(C14=0," ",(J14/$J$33)*$Q$9)</f>
        <v>4.375</v>
      </c>
      <c r="R14" s="86"/>
      <c r="S14" s="87"/>
      <c r="U14" s="9"/>
      <c r="V14" s="9"/>
    </row>
    <row r="15" spans="1:29" ht="12.75" customHeight="1">
      <c r="A15" s="68" t="s">
        <v>3</v>
      </c>
      <c r="B15" s="69"/>
      <c r="C15" s="103" t="s">
        <v>40</v>
      </c>
      <c r="D15" s="103"/>
      <c r="E15" s="103"/>
      <c r="F15" s="103"/>
      <c r="G15" s="103"/>
      <c r="H15" s="103"/>
      <c r="I15" s="104"/>
      <c r="J15" s="63">
        <v>0.125</v>
      </c>
      <c r="K15" s="64"/>
      <c r="L15" s="70" t="s">
        <v>43</v>
      </c>
      <c r="M15" s="71"/>
      <c r="N15" s="66">
        <f t="shared" si="0"/>
        <v>0.78125</v>
      </c>
      <c r="O15" s="67">
        <f t="shared" si="1"/>
        <v>1.171875</v>
      </c>
      <c r="P15" s="67"/>
      <c r="Q15" s="84">
        <f>IF(C15=0," ",(J15/$J$33)*$Q$9)</f>
        <v>1.09375</v>
      </c>
      <c r="R15" s="84"/>
      <c r="S15" s="85"/>
      <c r="U15" s="9"/>
      <c r="V15" s="9"/>
    </row>
    <row r="16" spans="1:29" ht="12.75" customHeight="1">
      <c r="A16" s="50" t="s">
        <v>4</v>
      </c>
      <c r="B16" s="51"/>
      <c r="C16" s="105" t="s">
        <v>41</v>
      </c>
      <c r="D16" s="105"/>
      <c r="E16" s="105"/>
      <c r="F16" s="105"/>
      <c r="G16" s="105"/>
      <c r="H16" s="105"/>
      <c r="I16" s="106"/>
      <c r="J16" s="56">
        <v>0.5</v>
      </c>
      <c r="K16" s="15"/>
      <c r="L16" s="34" t="s">
        <v>44</v>
      </c>
      <c r="M16" s="16"/>
      <c r="N16" s="29">
        <f t="shared" si="0"/>
        <v>3.125</v>
      </c>
      <c r="O16" s="30">
        <f t="shared" si="1"/>
        <v>4.6875</v>
      </c>
      <c r="P16" s="30"/>
      <c r="Q16" s="86">
        <f t="shared" si="2"/>
        <v>4.375</v>
      </c>
      <c r="R16" s="86"/>
      <c r="S16" s="87"/>
      <c r="U16" s="9"/>
      <c r="V16" s="9"/>
    </row>
    <row r="17" spans="1:23" ht="12.75" customHeight="1">
      <c r="A17" s="68" t="s">
        <v>5</v>
      </c>
      <c r="B17" s="69"/>
      <c r="C17" s="103" t="s">
        <v>42</v>
      </c>
      <c r="D17" s="103"/>
      <c r="E17" s="103"/>
      <c r="F17" s="103"/>
      <c r="G17" s="103"/>
      <c r="H17" s="103"/>
      <c r="I17" s="104"/>
      <c r="J17" s="63">
        <v>0.5</v>
      </c>
      <c r="K17" s="64"/>
      <c r="L17" s="70" t="s">
        <v>44</v>
      </c>
      <c r="M17" s="65"/>
      <c r="N17" s="66">
        <f t="shared" si="0"/>
        <v>3.125</v>
      </c>
      <c r="O17" s="67">
        <f t="shared" si="1"/>
        <v>4.6875</v>
      </c>
      <c r="P17" s="67"/>
      <c r="Q17" s="84">
        <f>IF(C17=0," ",(J17/$J$33)*$Q$9)</f>
        <v>4.375</v>
      </c>
      <c r="R17" s="84"/>
      <c r="S17" s="85"/>
      <c r="U17" s="9"/>
      <c r="V17" s="9"/>
    </row>
    <row r="18" spans="1:23" ht="12.75" customHeight="1">
      <c r="A18" s="50" t="s">
        <v>6</v>
      </c>
      <c r="B18" s="51"/>
      <c r="C18" s="105"/>
      <c r="D18" s="105"/>
      <c r="E18" s="105"/>
      <c r="F18" s="105"/>
      <c r="G18" s="105"/>
      <c r="H18" s="105"/>
      <c r="I18" s="106"/>
      <c r="J18" s="56"/>
      <c r="K18" s="15"/>
      <c r="L18" s="34"/>
      <c r="M18" s="16"/>
      <c r="N18" s="29" t="str">
        <f t="shared" si="0"/>
        <v xml:space="preserve"> </v>
      </c>
      <c r="O18" s="30" t="str">
        <f t="shared" si="1"/>
        <v xml:space="preserve"> </v>
      </c>
      <c r="P18" s="30"/>
      <c r="Q18" s="86" t="str">
        <f t="shared" si="2"/>
        <v xml:space="preserve"> </v>
      </c>
      <c r="R18" s="86"/>
      <c r="S18" s="87"/>
      <c r="U18" s="9"/>
      <c r="V18" s="9"/>
    </row>
    <row r="19" spans="1:23" ht="12.75" customHeight="1">
      <c r="A19" s="68" t="s">
        <v>7</v>
      </c>
      <c r="B19" s="69"/>
      <c r="C19" s="103"/>
      <c r="D19" s="103"/>
      <c r="E19" s="103"/>
      <c r="F19" s="103"/>
      <c r="G19" s="103"/>
      <c r="H19" s="103"/>
      <c r="I19" s="104"/>
      <c r="J19" s="63"/>
      <c r="K19" s="64"/>
      <c r="L19" s="70"/>
      <c r="M19" s="65"/>
      <c r="N19" s="66" t="str">
        <f t="shared" si="0"/>
        <v xml:space="preserve"> </v>
      </c>
      <c r="O19" s="67" t="str">
        <f t="shared" si="1"/>
        <v xml:space="preserve"> </v>
      </c>
      <c r="P19" s="67"/>
      <c r="Q19" s="84" t="str">
        <f t="shared" ref="Q19" si="3">IF(C19=0," ",(J19/$J$33)*$Q$9)</f>
        <v xml:space="preserve"> </v>
      </c>
      <c r="R19" s="84"/>
      <c r="S19" s="85"/>
      <c r="U19" s="9"/>
      <c r="V19" s="9"/>
    </row>
    <row r="20" spans="1:23" ht="12.75" customHeight="1">
      <c r="A20" s="50" t="s">
        <v>8</v>
      </c>
      <c r="B20" s="51"/>
      <c r="C20" s="105"/>
      <c r="D20" s="105"/>
      <c r="E20" s="105"/>
      <c r="F20" s="105"/>
      <c r="G20" s="105"/>
      <c r="H20" s="105"/>
      <c r="I20" s="106"/>
      <c r="J20" s="56"/>
      <c r="K20" s="15"/>
      <c r="L20" s="34"/>
      <c r="M20" s="16"/>
      <c r="N20" s="29" t="str">
        <f t="shared" si="0"/>
        <v xml:space="preserve"> </v>
      </c>
      <c r="O20" s="30" t="str">
        <f t="shared" si="1"/>
        <v xml:space="preserve"> </v>
      </c>
      <c r="P20" s="30"/>
      <c r="Q20" s="86" t="str">
        <f>IF(C20=0," ",(J20/$J$33)*$Q$9)</f>
        <v xml:space="preserve"> </v>
      </c>
      <c r="R20" s="86"/>
      <c r="S20" s="87"/>
      <c r="U20" s="9"/>
      <c r="V20" s="9"/>
    </row>
    <row r="21" spans="1:23" ht="12.75" customHeight="1">
      <c r="A21" s="68" t="s">
        <v>9</v>
      </c>
      <c r="B21" s="69"/>
      <c r="C21" s="103"/>
      <c r="D21" s="103"/>
      <c r="E21" s="103"/>
      <c r="F21" s="103"/>
      <c r="G21" s="103"/>
      <c r="H21" s="103"/>
      <c r="I21" s="104"/>
      <c r="J21" s="63"/>
      <c r="K21" s="64"/>
      <c r="L21" s="70"/>
      <c r="M21" s="65"/>
      <c r="N21" s="66" t="str">
        <f t="shared" si="0"/>
        <v xml:space="preserve"> </v>
      </c>
      <c r="O21" s="67" t="str">
        <f t="shared" si="1"/>
        <v xml:space="preserve"> </v>
      </c>
      <c r="P21" s="67"/>
      <c r="Q21" s="84" t="str">
        <f t="shared" si="2"/>
        <v xml:space="preserve"> </v>
      </c>
      <c r="R21" s="84"/>
      <c r="S21" s="85"/>
      <c r="U21" s="9"/>
      <c r="V21" s="9"/>
    </row>
    <row r="22" spans="1:23" ht="12.75" customHeight="1">
      <c r="A22" s="50" t="s">
        <v>17</v>
      </c>
      <c r="B22" s="51"/>
      <c r="C22" s="105"/>
      <c r="D22" s="105"/>
      <c r="E22" s="105"/>
      <c r="F22" s="105"/>
      <c r="G22" s="105"/>
      <c r="H22" s="105"/>
      <c r="I22" s="106"/>
      <c r="J22" s="56"/>
      <c r="K22" s="15"/>
      <c r="L22" s="34"/>
      <c r="M22" s="16"/>
      <c r="N22" s="29" t="str">
        <f t="shared" si="0"/>
        <v xml:space="preserve"> </v>
      </c>
      <c r="O22" s="30" t="str">
        <f t="shared" si="1"/>
        <v xml:space="preserve"> </v>
      </c>
      <c r="P22" s="30"/>
      <c r="Q22" s="86" t="str">
        <f t="shared" si="2"/>
        <v xml:space="preserve"> </v>
      </c>
      <c r="R22" s="86"/>
      <c r="S22" s="87"/>
      <c r="U22" s="9"/>
      <c r="V22" s="9"/>
      <c r="W22" s="9"/>
    </row>
    <row r="23" spans="1:23" ht="12.75" customHeight="1">
      <c r="A23" s="68" t="s">
        <v>18</v>
      </c>
      <c r="B23" s="69"/>
      <c r="C23" s="103"/>
      <c r="D23" s="103"/>
      <c r="E23" s="103"/>
      <c r="F23" s="103"/>
      <c r="G23" s="103"/>
      <c r="H23" s="103"/>
      <c r="I23" s="104"/>
      <c r="J23" s="63"/>
      <c r="K23" s="64"/>
      <c r="L23" s="70"/>
      <c r="M23" s="65"/>
      <c r="N23" s="66" t="str">
        <f t="shared" si="0"/>
        <v xml:space="preserve"> </v>
      </c>
      <c r="O23" s="67" t="str">
        <f t="shared" si="1"/>
        <v xml:space="preserve"> </v>
      </c>
      <c r="P23" s="67"/>
      <c r="Q23" s="84" t="str">
        <f>IF(C23=0," ",(J23/$J$33)*$Q$9)</f>
        <v xml:space="preserve"> </v>
      </c>
      <c r="R23" s="84"/>
      <c r="S23" s="85"/>
      <c r="U23" s="9"/>
      <c r="V23" s="9"/>
    </row>
    <row r="24" spans="1:23" ht="12.75" customHeight="1">
      <c r="A24" s="50" t="s">
        <v>19</v>
      </c>
      <c r="B24" s="51"/>
      <c r="C24" s="105"/>
      <c r="D24" s="105"/>
      <c r="E24" s="105"/>
      <c r="F24" s="105"/>
      <c r="G24" s="105"/>
      <c r="H24" s="105"/>
      <c r="I24" s="106"/>
      <c r="J24" s="56"/>
      <c r="K24" s="15"/>
      <c r="L24" s="34"/>
      <c r="M24" s="16"/>
      <c r="N24" s="29" t="str">
        <f t="shared" si="0"/>
        <v xml:space="preserve"> </v>
      </c>
      <c r="O24" s="30" t="str">
        <f t="shared" si="1"/>
        <v xml:space="preserve"> </v>
      </c>
      <c r="P24" s="30"/>
      <c r="Q24" s="86" t="str">
        <f t="shared" si="2"/>
        <v xml:space="preserve"> </v>
      </c>
      <c r="R24" s="86"/>
      <c r="S24" s="87"/>
      <c r="U24" s="9"/>
      <c r="V24" s="9"/>
    </row>
    <row r="25" spans="1:23" ht="12.75" customHeight="1">
      <c r="A25" s="68" t="s">
        <v>20</v>
      </c>
      <c r="B25" s="69"/>
      <c r="C25" s="103"/>
      <c r="D25" s="103"/>
      <c r="E25" s="103"/>
      <c r="F25" s="103"/>
      <c r="G25" s="103"/>
      <c r="H25" s="103"/>
      <c r="I25" s="104"/>
      <c r="J25" s="63"/>
      <c r="K25" s="64"/>
      <c r="L25" s="70"/>
      <c r="M25" s="65"/>
      <c r="N25" s="66" t="str">
        <f t="shared" si="0"/>
        <v xml:space="preserve"> </v>
      </c>
      <c r="O25" s="67" t="str">
        <f t="shared" si="1"/>
        <v xml:space="preserve"> </v>
      </c>
      <c r="P25" s="67"/>
      <c r="Q25" s="84" t="str">
        <f t="shared" si="2"/>
        <v xml:space="preserve"> </v>
      </c>
      <c r="R25" s="84"/>
      <c r="S25" s="85"/>
      <c r="U25" s="9"/>
      <c r="V25" s="9"/>
    </row>
    <row r="26" spans="1:23" ht="12.75" customHeight="1">
      <c r="A26" s="50" t="s">
        <v>21</v>
      </c>
      <c r="B26" s="51"/>
      <c r="C26" s="105"/>
      <c r="D26" s="105"/>
      <c r="E26" s="105"/>
      <c r="F26" s="105"/>
      <c r="G26" s="105"/>
      <c r="H26" s="105"/>
      <c r="I26" s="106"/>
      <c r="J26" s="56"/>
      <c r="K26" s="15"/>
      <c r="L26" s="34"/>
      <c r="M26" s="16"/>
      <c r="N26" s="29" t="str">
        <f t="shared" si="0"/>
        <v xml:space="preserve"> </v>
      </c>
      <c r="O26" s="30" t="str">
        <f t="shared" si="1"/>
        <v xml:space="preserve"> </v>
      </c>
      <c r="P26" s="30"/>
      <c r="Q26" s="86" t="str">
        <f t="shared" si="2"/>
        <v xml:space="preserve"> </v>
      </c>
      <c r="R26" s="86"/>
      <c r="S26" s="87"/>
    </row>
    <row r="27" spans="1:23" ht="12.75" customHeight="1">
      <c r="A27" s="68" t="s">
        <v>22</v>
      </c>
      <c r="B27" s="69"/>
      <c r="C27" s="103"/>
      <c r="D27" s="103"/>
      <c r="E27" s="103"/>
      <c r="F27" s="103"/>
      <c r="G27" s="103"/>
      <c r="H27" s="103"/>
      <c r="I27" s="104"/>
      <c r="J27" s="63"/>
      <c r="K27" s="64"/>
      <c r="L27" s="70"/>
      <c r="M27" s="65"/>
      <c r="N27" s="66" t="str">
        <f t="shared" si="0"/>
        <v xml:space="preserve"> </v>
      </c>
      <c r="O27" s="67" t="str">
        <f t="shared" si="1"/>
        <v xml:space="preserve"> </v>
      </c>
      <c r="P27" s="67"/>
      <c r="Q27" s="84" t="str">
        <f t="shared" si="2"/>
        <v xml:space="preserve"> </v>
      </c>
      <c r="R27" s="84"/>
      <c r="S27" s="85"/>
    </row>
    <row r="28" spans="1:23" ht="12.75" customHeight="1">
      <c r="A28" s="50" t="s">
        <v>23</v>
      </c>
      <c r="B28" s="51"/>
      <c r="C28" s="105"/>
      <c r="D28" s="105"/>
      <c r="E28" s="105"/>
      <c r="F28" s="105"/>
      <c r="G28" s="105"/>
      <c r="H28" s="105"/>
      <c r="I28" s="106"/>
      <c r="J28" s="56"/>
      <c r="K28" s="15"/>
      <c r="L28" s="34"/>
      <c r="M28" s="16"/>
      <c r="N28" s="29" t="str">
        <f t="shared" si="0"/>
        <v xml:space="preserve"> </v>
      </c>
      <c r="O28" s="30" t="str">
        <f t="shared" si="1"/>
        <v xml:space="preserve"> </v>
      </c>
      <c r="P28" s="30"/>
      <c r="Q28" s="86" t="str">
        <f t="shared" si="2"/>
        <v xml:space="preserve"> </v>
      </c>
      <c r="R28" s="86"/>
      <c r="S28" s="87"/>
    </row>
    <row r="29" spans="1:23" ht="12.75" customHeight="1">
      <c r="A29" s="68" t="s">
        <v>24</v>
      </c>
      <c r="B29" s="69"/>
      <c r="C29" s="103"/>
      <c r="D29" s="103"/>
      <c r="E29" s="103"/>
      <c r="F29" s="103"/>
      <c r="G29" s="103"/>
      <c r="H29" s="103"/>
      <c r="I29" s="104"/>
      <c r="J29" s="63"/>
      <c r="K29" s="64"/>
      <c r="L29" s="70"/>
      <c r="M29" s="65"/>
      <c r="N29" s="66" t="str">
        <f t="shared" si="0"/>
        <v xml:space="preserve"> </v>
      </c>
      <c r="O29" s="67" t="str">
        <f t="shared" si="1"/>
        <v xml:space="preserve"> </v>
      </c>
      <c r="P29" s="67"/>
      <c r="Q29" s="84" t="str">
        <f t="shared" si="2"/>
        <v xml:space="preserve"> </v>
      </c>
      <c r="R29" s="84"/>
      <c r="S29" s="85"/>
    </row>
    <row r="30" spans="1:23" ht="12.75" customHeight="1">
      <c r="A30" s="50" t="s">
        <v>25</v>
      </c>
      <c r="B30" s="51"/>
      <c r="C30" s="105"/>
      <c r="D30" s="105"/>
      <c r="E30" s="105"/>
      <c r="F30" s="105"/>
      <c r="G30" s="105"/>
      <c r="H30" s="105"/>
      <c r="I30" s="106"/>
      <c r="J30" s="56"/>
      <c r="K30" s="15"/>
      <c r="L30" s="34"/>
      <c r="M30" s="17"/>
      <c r="N30" s="29" t="str">
        <f t="shared" si="0"/>
        <v xml:space="preserve"> </v>
      </c>
      <c r="O30" s="30" t="str">
        <f t="shared" si="1"/>
        <v xml:space="preserve"> </v>
      </c>
      <c r="P30" s="30"/>
      <c r="Q30" s="86" t="str">
        <f t="shared" si="2"/>
        <v xml:space="preserve"> </v>
      </c>
      <c r="R30" s="86"/>
      <c r="S30" s="87"/>
    </row>
    <row r="31" spans="1:23" ht="12.75" customHeight="1">
      <c r="A31" s="72" t="s">
        <v>26</v>
      </c>
      <c r="B31" s="73"/>
      <c r="C31" s="138"/>
      <c r="D31" s="138"/>
      <c r="E31" s="138"/>
      <c r="F31" s="138"/>
      <c r="G31" s="138"/>
      <c r="H31" s="138"/>
      <c r="I31" s="139"/>
      <c r="J31" s="63"/>
      <c r="K31" s="74"/>
      <c r="L31" s="70"/>
      <c r="M31" s="75"/>
      <c r="N31" s="76" t="str">
        <f t="shared" si="0"/>
        <v xml:space="preserve"> </v>
      </c>
      <c r="O31" s="77" t="str">
        <f t="shared" si="1"/>
        <v xml:space="preserve"> </v>
      </c>
      <c r="P31" s="77"/>
      <c r="Q31" s="136" t="str">
        <f t="shared" si="2"/>
        <v xml:space="preserve"> </v>
      </c>
      <c r="R31" s="136"/>
      <c r="S31" s="137"/>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30" t="s">
        <v>27</v>
      </c>
      <c r="B33" s="131"/>
      <c r="C33" s="131"/>
      <c r="D33" s="131"/>
      <c r="E33" s="131"/>
      <c r="F33" s="131"/>
      <c r="G33" s="131"/>
      <c r="H33" s="131"/>
      <c r="I33" s="132"/>
      <c r="J33" s="107">
        <v>8</v>
      </c>
      <c r="K33" s="108"/>
      <c r="L33" s="109"/>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10" t="s">
        <v>12</v>
      </c>
      <c r="B36" s="111"/>
      <c r="C36" s="111"/>
      <c r="D36" s="111"/>
      <c r="E36" s="111"/>
      <c r="F36" s="111"/>
      <c r="G36" s="111"/>
      <c r="H36" s="111"/>
      <c r="I36" s="111"/>
      <c r="J36" s="111"/>
      <c r="K36" s="111"/>
      <c r="L36" s="111"/>
      <c r="M36" s="111"/>
      <c r="N36" s="111"/>
      <c r="O36" s="111"/>
      <c r="P36" s="111"/>
      <c r="Q36" s="111"/>
      <c r="R36" s="111"/>
      <c r="S36" s="112"/>
    </row>
    <row r="37" spans="1:19" s="10" customFormat="1" ht="12" customHeight="1">
      <c r="A37" s="88" t="s">
        <v>45</v>
      </c>
      <c r="B37" s="89"/>
      <c r="C37" s="89"/>
      <c r="D37" s="89"/>
      <c r="E37" s="89"/>
      <c r="F37" s="89"/>
      <c r="G37" s="89"/>
      <c r="H37" s="89"/>
      <c r="I37" s="89"/>
      <c r="J37" s="89"/>
      <c r="K37" s="89"/>
      <c r="L37" s="89"/>
      <c r="M37" s="89"/>
      <c r="N37" s="89"/>
      <c r="O37" s="89"/>
      <c r="P37" s="89"/>
      <c r="Q37" s="89"/>
      <c r="R37" s="89"/>
      <c r="S37" s="90"/>
    </row>
    <row r="38" spans="1:19" ht="13.5" customHeight="1">
      <c r="A38" s="91"/>
      <c r="B38" s="92"/>
      <c r="C38" s="92"/>
      <c r="D38" s="92"/>
      <c r="E38" s="92"/>
      <c r="F38" s="92"/>
      <c r="G38" s="92"/>
      <c r="H38" s="92"/>
      <c r="I38" s="92"/>
      <c r="J38" s="92"/>
      <c r="K38" s="92"/>
      <c r="L38" s="92"/>
      <c r="M38" s="92"/>
      <c r="N38" s="92"/>
      <c r="O38" s="92"/>
      <c r="P38" s="92"/>
      <c r="Q38" s="92"/>
      <c r="R38" s="92"/>
      <c r="S38" s="93"/>
    </row>
    <row r="39" spans="1:19" ht="13.5" customHeight="1">
      <c r="A39" s="91"/>
      <c r="B39" s="92"/>
      <c r="C39" s="92"/>
      <c r="D39" s="92"/>
      <c r="E39" s="92"/>
      <c r="F39" s="92"/>
      <c r="G39" s="92"/>
      <c r="H39" s="92"/>
      <c r="I39" s="92"/>
      <c r="J39" s="92"/>
      <c r="K39" s="92"/>
      <c r="L39" s="92"/>
      <c r="M39" s="92"/>
      <c r="N39" s="92"/>
      <c r="O39" s="92"/>
      <c r="P39" s="92"/>
      <c r="Q39" s="92"/>
      <c r="R39" s="92"/>
      <c r="S39" s="93"/>
    </row>
    <row r="40" spans="1:19" ht="13.5" customHeight="1">
      <c r="A40" s="91"/>
      <c r="B40" s="92"/>
      <c r="C40" s="92"/>
      <c r="D40" s="92"/>
      <c r="E40" s="92"/>
      <c r="F40" s="92"/>
      <c r="G40" s="92"/>
      <c r="H40" s="92"/>
      <c r="I40" s="92"/>
      <c r="J40" s="92"/>
      <c r="K40" s="92"/>
      <c r="L40" s="92"/>
      <c r="M40" s="92"/>
      <c r="N40" s="92"/>
      <c r="O40" s="92"/>
      <c r="P40" s="92"/>
      <c r="Q40" s="92"/>
      <c r="R40" s="92"/>
      <c r="S40" s="93"/>
    </row>
    <row r="41" spans="1:19" ht="13.5" customHeight="1">
      <c r="A41" s="91"/>
      <c r="B41" s="92"/>
      <c r="C41" s="92"/>
      <c r="D41" s="92"/>
      <c r="E41" s="92"/>
      <c r="F41" s="92"/>
      <c r="G41" s="92"/>
      <c r="H41" s="92"/>
      <c r="I41" s="92"/>
      <c r="J41" s="92"/>
      <c r="K41" s="92"/>
      <c r="L41" s="92"/>
      <c r="M41" s="92"/>
      <c r="N41" s="92"/>
      <c r="O41" s="92"/>
      <c r="P41" s="92"/>
      <c r="Q41" s="92"/>
      <c r="R41" s="92"/>
      <c r="S41" s="93"/>
    </row>
    <row r="42" spans="1:19" ht="13.5" customHeight="1">
      <c r="A42" s="91"/>
      <c r="B42" s="92"/>
      <c r="C42" s="92"/>
      <c r="D42" s="92"/>
      <c r="E42" s="92"/>
      <c r="F42" s="92"/>
      <c r="G42" s="92"/>
      <c r="H42" s="92"/>
      <c r="I42" s="92"/>
      <c r="J42" s="92"/>
      <c r="K42" s="92"/>
      <c r="L42" s="92"/>
      <c r="M42" s="92"/>
      <c r="N42" s="92"/>
      <c r="O42" s="92"/>
      <c r="P42" s="92"/>
      <c r="Q42" s="92"/>
      <c r="R42" s="92"/>
      <c r="S42" s="93"/>
    </row>
    <row r="43" spans="1:19" ht="12" customHeight="1">
      <c r="A43" s="91"/>
      <c r="B43" s="92"/>
      <c r="C43" s="92"/>
      <c r="D43" s="92"/>
      <c r="E43" s="92"/>
      <c r="F43" s="92"/>
      <c r="G43" s="92"/>
      <c r="H43" s="92"/>
      <c r="I43" s="92"/>
      <c r="J43" s="92"/>
      <c r="K43" s="92"/>
      <c r="L43" s="92"/>
      <c r="M43" s="92"/>
      <c r="N43" s="92"/>
      <c r="O43" s="92"/>
      <c r="P43" s="92"/>
      <c r="Q43" s="92"/>
      <c r="R43" s="92"/>
      <c r="S43" s="93"/>
    </row>
    <row r="44" spans="1:19" ht="13.5" customHeight="1">
      <c r="A44" s="91"/>
      <c r="B44" s="92"/>
      <c r="C44" s="92"/>
      <c r="D44" s="92"/>
      <c r="E44" s="92"/>
      <c r="F44" s="92"/>
      <c r="G44" s="92"/>
      <c r="H44" s="92"/>
      <c r="I44" s="92"/>
      <c r="J44" s="92"/>
      <c r="K44" s="92"/>
      <c r="L44" s="92"/>
      <c r="M44" s="92"/>
      <c r="N44" s="92"/>
      <c r="O44" s="92"/>
      <c r="P44" s="92"/>
      <c r="Q44" s="92"/>
      <c r="R44" s="92"/>
      <c r="S44" s="93"/>
    </row>
    <row r="45" spans="1:19" ht="13.5" customHeight="1">
      <c r="A45" s="91"/>
      <c r="B45" s="92"/>
      <c r="C45" s="92"/>
      <c r="D45" s="92"/>
      <c r="E45" s="92"/>
      <c r="F45" s="92"/>
      <c r="G45" s="92"/>
      <c r="H45" s="92"/>
      <c r="I45" s="92"/>
      <c r="J45" s="92"/>
      <c r="K45" s="92"/>
      <c r="L45" s="92"/>
      <c r="M45" s="92"/>
      <c r="N45" s="92"/>
      <c r="O45" s="92"/>
      <c r="P45" s="92"/>
      <c r="Q45" s="92"/>
      <c r="R45" s="92"/>
      <c r="S45" s="93"/>
    </row>
    <row r="46" spans="1:19" ht="13.5" customHeight="1">
      <c r="A46" s="91"/>
      <c r="B46" s="92"/>
      <c r="C46" s="92"/>
      <c r="D46" s="92"/>
      <c r="E46" s="92"/>
      <c r="F46" s="92"/>
      <c r="G46" s="92"/>
      <c r="H46" s="92"/>
      <c r="I46" s="92"/>
      <c r="J46" s="92"/>
      <c r="K46" s="92"/>
      <c r="L46" s="92"/>
      <c r="M46" s="92"/>
      <c r="N46" s="92"/>
      <c r="O46" s="92"/>
      <c r="P46" s="92"/>
      <c r="Q46" s="92"/>
      <c r="R46" s="92"/>
      <c r="S46" s="93"/>
    </row>
    <row r="47" spans="1:19" ht="13.5" customHeight="1">
      <c r="A47" s="91"/>
      <c r="B47" s="92"/>
      <c r="C47" s="92"/>
      <c r="D47" s="92"/>
      <c r="E47" s="92"/>
      <c r="F47" s="92"/>
      <c r="G47" s="92"/>
      <c r="H47" s="92"/>
      <c r="I47" s="92"/>
      <c r="J47" s="92"/>
      <c r="K47" s="92"/>
      <c r="L47" s="92"/>
      <c r="M47" s="92"/>
      <c r="N47" s="92"/>
      <c r="O47" s="92"/>
      <c r="P47" s="92"/>
      <c r="Q47" s="92"/>
      <c r="R47" s="92"/>
      <c r="S47" s="93"/>
    </row>
    <row r="48" spans="1:19" ht="13.5" customHeight="1">
      <c r="A48" s="91"/>
      <c r="B48" s="92"/>
      <c r="C48" s="92"/>
      <c r="D48" s="92"/>
      <c r="E48" s="92"/>
      <c r="F48" s="92"/>
      <c r="G48" s="92"/>
      <c r="H48" s="92"/>
      <c r="I48" s="92"/>
      <c r="J48" s="92"/>
      <c r="K48" s="92"/>
      <c r="L48" s="92"/>
      <c r="M48" s="92"/>
      <c r="N48" s="92"/>
      <c r="O48" s="92"/>
      <c r="P48" s="92"/>
      <c r="Q48" s="92"/>
      <c r="R48" s="92"/>
      <c r="S48" s="93"/>
    </row>
    <row r="49" spans="1:21" ht="13.5" customHeight="1" thickBot="1">
      <c r="A49" s="94"/>
      <c r="B49" s="95"/>
      <c r="C49" s="95"/>
      <c r="D49" s="95"/>
      <c r="E49" s="95"/>
      <c r="F49" s="95"/>
      <c r="G49" s="95"/>
      <c r="H49" s="95"/>
      <c r="I49" s="95"/>
      <c r="J49" s="95"/>
      <c r="K49" s="95"/>
      <c r="L49" s="95"/>
      <c r="M49" s="95"/>
      <c r="N49" s="95"/>
      <c r="O49" s="95"/>
      <c r="P49" s="95"/>
      <c r="Q49" s="95"/>
      <c r="R49" s="95"/>
      <c r="S49" s="96"/>
    </row>
    <row r="50" spans="1:21" ht="12" customHeight="1" thickBot="1">
      <c r="A50" s="110" t="s">
        <v>13</v>
      </c>
      <c r="B50" s="111"/>
      <c r="C50" s="111"/>
      <c r="D50" s="111"/>
      <c r="E50" s="111"/>
      <c r="F50" s="111"/>
      <c r="G50" s="111"/>
      <c r="H50" s="111"/>
      <c r="I50" s="111"/>
      <c r="J50" s="111"/>
      <c r="K50" s="111"/>
      <c r="L50" s="111"/>
      <c r="M50" s="111"/>
      <c r="N50" s="111"/>
      <c r="O50" s="111"/>
      <c r="P50" s="111"/>
      <c r="Q50" s="111"/>
      <c r="R50" s="111"/>
      <c r="S50" s="112"/>
    </row>
    <row r="51" spans="1:21" ht="11.25" customHeight="1">
      <c r="A51" s="113"/>
      <c r="B51" s="114"/>
      <c r="C51" s="114"/>
      <c r="D51" s="114"/>
      <c r="E51" s="114"/>
      <c r="F51" s="114"/>
      <c r="G51" s="114"/>
      <c r="H51" s="114"/>
      <c r="I51" s="114"/>
      <c r="J51" s="114"/>
      <c r="K51" s="114"/>
      <c r="L51" s="114"/>
      <c r="M51" s="114"/>
      <c r="N51" s="114"/>
      <c r="O51" s="114"/>
      <c r="P51" s="114"/>
      <c r="Q51" s="115"/>
      <c r="R51" s="97" t="str">
        <f>IF(Q1=0, " ", Q1)</f>
        <v xml:space="preserve"> </v>
      </c>
      <c r="S51" s="98"/>
    </row>
    <row r="52" spans="1:21" ht="11.25" customHeight="1">
      <c r="A52" s="116"/>
      <c r="B52" s="117"/>
      <c r="C52" s="117"/>
      <c r="D52" s="117"/>
      <c r="E52" s="117"/>
      <c r="F52" s="117"/>
      <c r="G52" s="117"/>
      <c r="H52" s="117"/>
      <c r="I52" s="117"/>
      <c r="J52" s="117"/>
      <c r="K52" s="117"/>
      <c r="L52" s="117"/>
      <c r="M52" s="117"/>
      <c r="N52" s="117"/>
      <c r="O52" s="117"/>
      <c r="P52" s="117"/>
      <c r="Q52" s="118"/>
      <c r="R52" s="99"/>
      <c r="S52" s="100"/>
    </row>
    <row r="53" spans="1:21" ht="11.25" customHeight="1" thickBot="1">
      <c r="A53" s="116"/>
      <c r="B53" s="117"/>
      <c r="C53" s="117"/>
      <c r="D53" s="117"/>
      <c r="E53" s="117"/>
      <c r="F53" s="117"/>
      <c r="G53" s="117"/>
      <c r="H53" s="117"/>
      <c r="I53" s="117"/>
      <c r="J53" s="117"/>
      <c r="K53" s="117"/>
      <c r="L53" s="117"/>
      <c r="M53" s="117"/>
      <c r="N53" s="117"/>
      <c r="O53" s="117"/>
      <c r="P53" s="117"/>
      <c r="Q53" s="118"/>
      <c r="R53" s="101"/>
      <c r="S53" s="102"/>
    </row>
    <row r="54" spans="1:21" ht="11.25" customHeight="1">
      <c r="A54" s="116"/>
      <c r="B54" s="117"/>
      <c r="C54" s="117"/>
      <c r="D54" s="117"/>
      <c r="E54" s="117"/>
      <c r="F54" s="117"/>
      <c r="G54" s="117"/>
      <c r="H54" s="117"/>
      <c r="I54" s="117"/>
      <c r="J54" s="117"/>
      <c r="K54" s="117"/>
      <c r="L54" s="117"/>
      <c r="M54" s="117"/>
      <c r="N54" s="117"/>
      <c r="O54" s="117"/>
      <c r="P54" s="117"/>
      <c r="Q54" s="118"/>
      <c r="R54" s="78" t="str">
        <f>IF(Q2=0, " ", Q2)</f>
        <v xml:space="preserve"> </v>
      </c>
      <c r="S54" s="79"/>
    </row>
    <row r="55" spans="1:21" ht="11.25" customHeight="1">
      <c r="A55" s="116"/>
      <c r="B55" s="117"/>
      <c r="C55" s="117"/>
      <c r="D55" s="117"/>
      <c r="E55" s="117"/>
      <c r="F55" s="117"/>
      <c r="G55" s="117"/>
      <c r="H55" s="117"/>
      <c r="I55" s="117"/>
      <c r="J55" s="117"/>
      <c r="K55" s="117"/>
      <c r="L55" s="117"/>
      <c r="M55" s="117"/>
      <c r="N55" s="117"/>
      <c r="O55" s="117"/>
      <c r="P55" s="117"/>
      <c r="Q55" s="118"/>
      <c r="R55" s="80"/>
      <c r="S55" s="81"/>
      <c r="T55" s="10"/>
      <c r="U55" s="10"/>
    </row>
    <row r="56" spans="1:21" ht="11.25" customHeight="1">
      <c r="A56" s="116"/>
      <c r="B56" s="117"/>
      <c r="C56" s="117"/>
      <c r="D56" s="117"/>
      <c r="E56" s="117"/>
      <c r="F56" s="117"/>
      <c r="G56" s="117"/>
      <c r="H56" s="117"/>
      <c r="I56" s="117"/>
      <c r="J56" s="117"/>
      <c r="K56" s="117"/>
      <c r="L56" s="117"/>
      <c r="M56" s="117"/>
      <c r="N56" s="117"/>
      <c r="O56" s="117"/>
      <c r="P56" s="117"/>
      <c r="Q56" s="118"/>
      <c r="R56" s="80"/>
      <c r="S56" s="81"/>
    </row>
    <row r="57" spans="1:21" ht="11.25" customHeight="1" thickBot="1">
      <c r="A57" s="119"/>
      <c r="B57" s="120"/>
      <c r="C57" s="120"/>
      <c r="D57" s="120"/>
      <c r="E57" s="120"/>
      <c r="F57" s="120"/>
      <c r="G57" s="120"/>
      <c r="H57" s="120"/>
      <c r="I57" s="120"/>
      <c r="J57" s="120"/>
      <c r="K57" s="120"/>
      <c r="L57" s="120"/>
      <c r="M57" s="120"/>
      <c r="N57" s="120"/>
      <c r="O57" s="120"/>
      <c r="P57" s="120"/>
      <c r="Q57" s="121"/>
      <c r="R57" s="82"/>
      <c r="S57" s="83"/>
    </row>
  </sheetData>
  <sheetProtection sheet="1" objects="1" scenarios="1"/>
  <mergeCells count="66">
    <mergeCell ref="Q21:S21"/>
    <mergeCell ref="C22:I22"/>
    <mergeCell ref="Q22:S22"/>
    <mergeCell ref="Q20:S20"/>
    <mergeCell ref="C20:I20"/>
    <mergeCell ref="A8:C8"/>
    <mergeCell ref="E8:O8"/>
    <mergeCell ref="Q7:S7"/>
    <mergeCell ref="Q8:S8"/>
    <mergeCell ref="A9:C9"/>
    <mergeCell ref="E9:O9"/>
    <mergeCell ref="D1:E1"/>
    <mergeCell ref="D2:E2"/>
    <mergeCell ref="A4:C4"/>
    <mergeCell ref="G1:O1"/>
    <mergeCell ref="G2:O2"/>
    <mergeCell ref="D4:O6"/>
    <mergeCell ref="C19:I19"/>
    <mergeCell ref="Q16:S16"/>
    <mergeCell ref="C16:I16"/>
    <mergeCell ref="C12:I12"/>
    <mergeCell ref="C13:I13"/>
    <mergeCell ref="C18:I18"/>
    <mergeCell ref="C17:I17"/>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Q1:S1"/>
    <mergeCell ref="Q2:S2"/>
    <mergeCell ref="Q4:S4"/>
    <mergeCell ref="Q17:S17"/>
    <mergeCell ref="Q11:S11"/>
    <mergeCell ref="Q13:S13"/>
    <mergeCell ref="Q14:S14"/>
    <mergeCell ref="Q12:S12"/>
    <mergeCell ref="Q15:S15"/>
    <mergeCell ref="Q9:S9"/>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Bean</cp:lastModifiedBy>
  <cp:lastPrinted>2011-07-19T18:29:49Z</cp:lastPrinted>
  <dcterms:created xsi:type="dcterms:W3CDTF">2000-10-24T15:57:25Z</dcterms:created>
  <dcterms:modified xsi:type="dcterms:W3CDTF">2011-07-19T18:29:52Z</dcterms:modified>
</cp:coreProperties>
</file>