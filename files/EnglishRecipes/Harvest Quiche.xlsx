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calcMode="autoNoTable"/>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<sst xmlns="http://schemas.openxmlformats.org/spreadsheetml/2006/main" count="62" uniqueCount="54">
  <si>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</si>
  <si>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</si>
  <si>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</si>
  <si>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</si>
  <si>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</si>
  <si>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</si>
  <si>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</si>
  <si>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</si>
  <si>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</si>
  <si>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</si>
  <si>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</si>
  <si>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</si>
  <si>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</si>
  <si>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</si>
  <si>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</si>
  <si>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</si>
  <si>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</si>
  <si>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</si>
  <si>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</si>
  <si>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</si>
  <si>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</si>
  <si>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</si>
  <si>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</si>
  <si>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</si>
  <si>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</si>
  <si>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</si>
  <si>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</si>
  <si>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</si>
  <si>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</si>
  <si>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</si>
  <si>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</si>
  <si>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</si>
  <si>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</si>
  <si>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</si>
  <si>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</si>
  <si>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</si>
  <si>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Harvest Quiche</t>
  </si>
  <si>
    <t>Red pepper -chopped</t>
  </si>
  <si>
    <t>Green Pepper -chopped</t>
  </si>
  <si>
    <t>Zucchini -chopped</t>
  </si>
  <si>
    <t>Onion -chopped</t>
  </si>
  <si>
    <t>c</t>
  </si>
  <si>
    <t>Fresh basil -finely chopped</t>
  </si>
  <si>
    <t>Feta crumbled</t>
  </si>
  <si>
    <t>Salt  -to taste</t>
  </si>
  <si>
    <t xml:space="preserve"> Pepper  -to taste</t>
  </si>
  <si>
    <t>T</t>
  </si>
  <si>
    <t>Olive oil -enough to coat veggies</t>
  </si>
  <si>
    <t>Eggs</t>
  </si>
  <si>
    <t>Milk</t>
  </si>
  <si>
    <t>Cream</t>
  </si>
  <si>
    <t>Premade pie crust</t>
  </si>
  <si>
    <t>ct</t>
  </si>
  <si>
    <t>Sprickle veggies with salt and pepper, coat with oil.  Put veggies in pie crust. Mix eggs milk and cream well and pour over veggies.  Sprinkle feta on top. Bake at 375 for 30-35 mins.</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</si>
</sst>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topLeftCell="A2" zoomScaleNormal="100" zoomScaleSheetLayoutView="110" workbookViewId="0">
      <selection activeCell="Q10" sqref="Q10"/>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c r="A9" s="90" t="s">
        <v>33</v>
      </c>
      <c r="B9" s="91"/>
      <c r="C9" s="91"/>
      <c r="D9" s="57"/>
      <c r="E9" s="92"/>
      <c r="F9" s="93"/>
      <c r="G9" s="93"/>
      <c r="H9" s="93"/>
      <c r="I9" s="93"/>
      <c r="J9" s="93"/>
      <c r="K9" s="93"/>
      <c r="L9" s="93"/>
      <c r="M9" s="93"/>
      <c r="N9" s="93"/>
      <c r="O9" s="94"/>
      <c r="P9" s="27"/>
      <c r="Q9" s="128">
        <v>60</v>
      </c>
      <c r="R9" s="129"/>
      <c r="S9" s="130"/>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c r="A12" s="44" t="s">
        <v>0</v>
      </c>
      <c r="B12" s="45"/>
      <c r="C12" s="111" t="s">
        <v>37</v>
      </c>
      <c r="D12" s="111"/>
      <c r="E12" s="111"/>
      <c r="F12" s="111"/>
      <c r="G12" s="111"/>
      <c r="H12" s="111"/>
      <c r="I12" s="112"/>
      <c r="J12" s="56">
        <v>0.33333333333333331</v>
      </c>
      <c r="K12" s="15"/>
      <c r="L12" s="33" t="s">
        <v>41</v>
      </c>
      <c r="M12" s="16"/>
      <c r="N12" s="29">
        <f t="shared" ref="N12:N31" si="0">IF(C12=0," ",(J12/$J$33)*50)</f>
        <v>1.6666666666666667</v>
      </c>
      <c r="O12" s="30">
        <f t="shared" ref="O12:O31" si="1">IF(C12=0," ",(J12/$J$33)*75)</f>
        <v>2.5</v>
      </c>
      <c r="P12" s="30"/>
      <c r="Q12" s="82">
        <f t="shared" ref="Q12:Q31" si="2">IF(C12=0," ",(J12/$J$33)*$Q$9)</f>
        <v>2</v>
      </c>
      <c r="R12" s="82"/>
      <c r="S12" s="83"/>
      <c r="U12" s="9"/>
      <c r="V12" s="9"/>
    </row>
    <row r="13" spans="1:29" ht="12.75" customHeight="1">
      <c r="A13" s="68" t="s">
        <v>1</v>
      </c>
      <c r="B13" s="69"/>
      <c r="C13" s="109" t="s">
        <v>38</v>
      </c>
      <c r="D13" s="109"/>
      <c r="E13" s="109"/>
      <c r="F13" s="109"/>
      <c r="G13" s="109"/>
      <c r="H13" s="109"/>
      <c r="I13" s="110"/>
      <c r="J13" s="63">
        <v>0.33333333333333331</v>
      </c>
      <c r="K13" s="64"/>
      <c r="L13" s="70" t="s">
        <v>41</v>
      </c>
      <c r="M13" s="65"/>
      <c r="N13" s="66">
        <f t="shared" si="0"/>
        <v>1.6666666666666667</v>
      </c>
      <c r="O13" s="67">
        <f t="shared" si="1"/>
        <v>2.5</v>
      </c>
      <c r="P13" s="67"/>
      <c r="Q13" s="78">
        <f>IF(C13=0," ",(J13/$J$33)*$Q$9)</f>
        <v>2</v>
      </c>
      <c r="R13" s="78"/>
      <c r="S13" s="79"/>
      <c r="U13" s="9"/>
      <c r="V13" s="9"/>
    </row>
    <row r="14" spans="1:29" ht="12.75" customHeight="1">
      <c r="A14" s="50" t="s">
        <v>2</v>
      </c>
      <c r="B14" s="51"/>
      <c r="C14" s="80" t="s">
        <v>39</v>
      </c>
      <c r="D14" s="80"/>
      <c r="E14" s="80"/>
      <c r="F14" s="80"/>
      <c r="G14" s="80"/>
      <c r="H14" s="80"/>
      <c r="I14" s="81"/>
      <c r="J14" s="56">
        <v>0.33333333333333331</v>
      </c>
      <c r="K14" s="15"/>
      <c r="L14" s="34" t="s">
        <v>41</v>
      </c>
      <c r="M14" s="16"/>
      <c r="N14" s="29">
        <f t="shared" si="0"/>
        <v>1.6666666666666667</v>
      </c>
      <c r="O14" s="30">
        <f t="shared" si="1"/>
        <v>2.5</v>
      </c>
      <c r="P14" s="30"/>
      <c r="Q14" s="82">
        <f>IF(C14=0," ",(J14/$J$33)*$Q$9)</f>
        <v>2</v>
      </c>
      <c r="R14" s="82"/>
      <c r="S14" s="83"/>
      <c r="U14" s="9"/>
      <c r="V14" s="9"/>
    </row>
    <row r="15" spans="1:29" ht="12.75" customHeight="1">
      <c r="A15" s="68" t="s">
        <v>3</v>
      </c>
      <c r="B15" s="69"/>
      <c r="C15" s="109" t="s">
        <v>40</v>
      </c>
      <c r="D15" s="109"/>
      <c r="E15" s="109"/>
      <c r="F15" s="109"/>
      <c r="G15" s="109"/>
      <c r="H15" s="109"/>
      <c r="I15" s="110"/>
      <c r="J15" s="63">
        <v>0.33333333333333331</v>
      </c>
      <c r="K15" s="64"/>
      <c r="L15" s="70" t="s">
        <v>41</v>
      </c>
      <c r="M15" s="71"/>
      <c r="N15" s="66">
        <f t="shared" si="0"/>
        <v>1.6666666666666667</v>
      </c>
      <c r="O15" s="67">
        <f t="shared" si="1"/>
        <v>2.5</v>
      </c>
      <c r="P15" s="67"/>
      <c r="Q15" s="78">
        <f>IF(C15=0," ",(J15/$J$33)*$Q$9)</f>
        <v>2</v>
      </c>
      <c r="R15" s="78"/>
      <c r="S15" s="79"/>
      <c r="U15" s="9"/>
      <c r="V15" s="9"/>
    </row>
    <row r="16" spans="1:29" ht="12.75" customHeight="1">
      <c r="A16" s="50" t="s">
        <v>4</v>
      </c>
      <c r="B16" s="51"/>
      <c r="C16" s="80" t="s">
        <v>42</v>
      </c>
      <c r="D16" s="80"/>
      <c r="E16" s="80"/>
      <c r="F16" s="80"/>
      <c r="G16" s="80"/>
      <c r="H16" s="80"/>
      <c r="I16" s="81"/>
      <c r="J16" s="56">
        <v>1</v>
      </c>
      <c r="K16" s="15"/>
      <c r="L16" s="34" t="s">
        <v>46</v>
      </c>
      <c r="M16" s="16"/>
      <c r="N16" s="29">
        <f t="shared" si="0"/>
        <v>5</v>
      </c>
      <c r="O16" s="30">
        <f t="shared" si="1"/>
        <v>7.5</v>
      </c>
      <c r="P16" s="30"/>
      <c r="Q16" s="82">
        <f t="shared" si="2"/>
        <v>6</v>
      </c>
      <c r="R16" s="82"/>
      <c r="S16" s="83"/>
      <c r="U16" s="9"/>
      <c r="V16" s="9"/>
    </row>
    <row r="17" spans="1:23" ht="12.75" customHeight="1">
      <c r="A17" s="68" t="s">
        <v>5</v>
      </c>
      <c r="B17" s="69"/>
      <c r="C17" s="109" t="s">
        <v>44</v>
      </c>
      <c r="D17" s="109"/>
      <c r="E17" s="109"/>
      <c r="F17" s="109"/>
      <c r="G17" s="109"/>
      <c r="H17" s="109"/>
      <c r="I17" s="110"/>
      <c r="J17" s="63"/>
      <c r="K17" s="64"/>
      <c r="L17" s="70"/>
      <c r="M17" s="65"/>
      <c r="N17" s="66">
        <f t="shared" si="0"/>
        <v>0</v>
      </c>
      <c r="O17" s="67">
        <f t="shared" si="1"/>
        <v>0</v>
      </c>
      <c r="P17" s="67"/>
      <c r="Q17" s="78">
        <f>IF(C17=0," ",(J17/$J$33)*$Q$9)</f>
        <v>0</v>
      </c>
      <c r="R17" s="78"/>
      <c r="S17" s="79"/>
      <c r="U17" s="9"/>
      <c r="V17" s="9"/>
    </row>
    <row r="18" spans="1:23" ht="12.75" customHeight="1">
      <c r="A18" s="50" t="s">
        <v>6</v>
      </c>
      <c r="B18" s="51"/>
      <c r="C18" s="80" t="s">
        <v>45</v>
      </c>
      <c r="D18" s="80"/>
      <c r="E18" s="80"/>
      <c r="F18" s="80"/>
      <c r="G18" s="80"/>
      <c r="H18" s="80"/>
      <c r="I18" s="81"/>
      <c r="J18" s="56"/>
      <c r="K18" s="15"/>
      <c r="L18" s="34"/>
      <c r="M18" s="16"/>
      <c r="N18" s="29">
        <f t="shared" si="0"/>
        <v>0</v>
      </c>
      <c r="O18" s="30">
        <f t="shared" si="1"/>
        <v>0</v>
      </c>
      <c r="P18" s="30"/>
      <c r="Q18" s="82">
        <f t="shared" si="2"/>
        <v>0</v>
      </c>
      <c r="R18" s="82"/>
      <c r="S18" s="83"/>
      <c r="U18" s="9"/>
      <c r="V18" s="9"/>
    </row>
    <row r="19" spans="1:23" ht="12.75" customHeight="1">
      <c r="A19" s="68" t="s">
        <v>7</v>
      </c>
      <c r="B19" s="69"/>
      <c r="C19" s="109" t="s">
        <v>47</v>
      </c>
      <c r="D19" s="109"/>
      <c r="E19" s="109"/>
      <c r="F19" s="109"/>
      <c r="G19" s="109"/>
      <c r="H19" s="109"/>
      <c r="I19" s="110"/>
      <c r="J19" s="63"/>
      <c r="K19" s="64"/>
      <c r="L19" s="70"/>
      <c r="M19" s="65"/>
      <c r="N19" s="66">
        <f t="shared" si="0"/>
        <v>0</v>
      </c>
      <c r="O19" s="67">
        <f t="shared" si="1"/>
        <v>0</v>
      </c>
      <c r="P19" s="67"/>
      <c r="Q19" s="78">
        <f t="shared" ref="Q19" si="3">IF(C19=0," ",(J19/$J$33)*$Q$9)</f>
        <v>0</v>
      </c>
      <c r="R19" s="78"/>
      <c r="S19" s="79"/>
      <c r="U19" s="9"/>
      <c r="V19" s="9"/>
    </row>
    <row r="20" spans="1:23" ht="12.75" customHeight="1">
      <c r="A20" s="50" t="s">
        <v>8</v>
      </c>
      <c r="B20" s="51"/>
      <c r="C20" s="80" t="s">
        <v>43</v>
      </c>
      <c r="D20" s="80"/>
      <c r="E20" s="80"/>
      <c r="F20" s="80"/>
      <c r="G20" s="80"/>
      <c r="H20" s="80"/>
      <c r="I20" s="81"/>
      <c r="J20" s="56">
        <v>4</v>
      </c>
      <c r="K20" s="15"/>
      <c r="L20" s="34" t="s">
        <v>46</v>
      </c>
      <c r="M20" s="16"/>
      <c r="N20" s="29">
        <f t="shared" si="0"/>
        <v>20</v>
      </c>
      <c r="O20" s="30">
        <f t="shared" si="1"/>
        <v>30</v>
      </c>
      <c r="P20" s="30"/>
      <c r="Q20" s="82">
        <f>IF(C20=0," ",(J20/$J$33)*$Q$9)</f>
        <v>24</v>
      </c>
      <c r="R20" s="82"/>
      <c r="S20" s="83"/>
      <c r="U20" s="9"/>
      <c r="V20" s="9"/>
    </row>
    <row r="21" spans="1:23" ht="12.75" customHeight="1">
      <c r="A21" s="68" t="s">
        <v>9</v>
      </c>
      <c r="B21" s="69"/>
      <c r="C21" s="109" t="s">
        <v>48</v>
      </c>
      <c r="D21" s="109"/>
      <c r="E21" s="109"/>
      <c r="F21" s="109"/>
      <c r="G21" s="109"/>
      <c r="H21" s="109"/>
      <c r="I21" s="110"/>
      <c r="J21" s="63">
        <v>4</v>
      </c>
      <c r="K21" s="64"/>
      <c r="L21" s="70" t="s">
        <v>52</v>
      </c>
      <c r="M21" s="65"/>
      <c r="N21" s="66">
        <f t="shared" si="0"/>
        <v>20</v>
      </c>
      <c r="O21" s="67">
        <f t="shared" si="1"/>
        <v>30</v>
      </c>
      <c r="P21" s="67"/>
      <c r="Q21" s="78">
        <f t="shared" si="2"/>
        <v>24</v>
      </c>
      <c r="R21" s="78"/>
      <c r="S21" s="79"/>
      <c r="U21" s="9"/>
      <c r="V21" s="9"/>
    </row>
    <row r="22" spans="1:23" ht="12.75" customHeight="1">
      <c r="A22" s="50" t="s">
        <v>17</v>
      </c>
      <c r="B22" s="51"/>
      <c r="C22" s="80" t="s">
        <v>49</v>
      </c>
      <c r="D22" s="80"/>
      <c r="E22" s="80"/>
      <c r="F22" s="80"/>
      <c r="G22" s="80"/>
      <c r="H22" s="80"/>
      <c r="I22" s="81"/>
      <c r="J22" s="56">
        <v>0.75</v>
      </c>
      <c r="K22" s="15"/>
      <c r="L22" s="34" t="s">
        <v>41</v>
      </c>
      <c r="M22" s="16"/>
      <c r="N22" s="29">
        <f t="shared" si="0"/>
        <v>3.75</v>
      </c>
      <c r="O22" s="30">
        <f t="shared" si="1"/>
        <v>5.625</v>
      </c>
      <c r="P22" s="30"/>
      <c r="Q22" s="82">
        <f t="shared" si="2"/>
        <v>4.5</v>
      </c>
      <c r="R22" s="82"/>
      <c r="S22" s="83"/>
      <c r="U22" s="9"/>
      <c r="V22" s="9"/>
      <c r="W22" s="9"/>
    </row>
    <row r="23" spans="1:23" ht="12.75" customHeight="1">
      <c r="A23" s="68" t="s">
        <v>18</v>
      </c>
      <c r="B23" s="69"/>
      <c r="C23" s="109" t="s">
        <v>50</v>
      </c>
      <c r="D23" s="109"/>
      <c r="E23" s="109"/>
      <c r="F23" s="109"/>
      <c r="G23" s="109"/>
      <c r="H23" s="109"/>
      <c r="I23" s="110"/>
      <c r="J23" s="63">
        <v>0.75</v>
      </c>
      <c r="K23" s="64"/>
      <c r="L23" s="70" t="s">
        <v>41</v>
      </c>
      <c r="M23" s="65"/>
      <c r="N23" s="66">
        <f t="shared" si="0"/>
        <v>3.75</v>
      </c>
      <c r="O23" s="67">
        <f t="shared" si="1"/>
        <v>5.625</v>
      </c>
      <c r="P23" s="67"/>
      <c r="Q23" s="78">
        <f>IF(C23=0," ",(J23/$J$33)*$Q$9)</f>
        <v>4.5</v>
      </c>
      <c r="R23" s="78"/>
      <c r="S23" s="79"/>
      <c r="U23" s="9"/>
      <c r="V23" s="9"/>
    </row>
    <row r="24" spans="1:23" ht="12.75" customHeight="1">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c r="A25" s="68" t="s">
        <v>20</v>
      </c>
      <c r="B25" s="69"/>
      <c r="C25" s="109" t="s">
        <v>51</v>
      </c>
      <c r="D25" s="109"/>
      <c r="E25" s="109"/>
      <c r="F25" s="109"/>
      <c r="G25" s="109"/>
      <c r="H25" s="109"/>
      <c r="I25" s="110"/>
      <c r="J25" s="63">
        <v>1</v>
      </c>
      <c r="K25" s="64"/>
      <c r="L25" s="70" t="s">
        <v>52</v>
      </c>
      <c r="M25" s="65"/>
      <c r="N25" s="66">
        <f t="shared" si="0"/>
        <v>5</v>
      </c>
      <c r="O25" s="67">
        <f t="shared" si="1"/>
        <v>7.5</v>
      </c>
      <c r="P25" s="67"/>
      <c r="Q25" s="78">
        <f t="shared" si="2"/>
        <v>6</v>
      </c>
      <c r="R25" s="78"/>
      <c r="S25" s="79"/>
      <c r="U25" s="9"/>
      <c r="V25" s="9"/>
    </row>
    <row r="26" spans="1:23" ht="12.75" customHeight="1">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13" t="s">
        <v>27</v>
      </c>
      <c r="B33" s="114"/>
      <c r="C33" s="114"/>
      <c r="D33" s="114"/>
      <c r="E33" s="114"/>
      <c r="F33" s="114"/>
      <c r="G33" s="114"/>
      <c r="H33" s="114"/>
      <c r="I33" s="115"/>
      <c r="J33" s="152">
        <v>10</v>
      </c>
      <c r="K33" s="153"/>
      <c r="L33" s="154"/>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c r="A37" s="137" t="s">
        <v>53</v>
      </c>
      <c r="B37" s="138"/>
      <c r="C37" s="138"/>
      <c r="D37" s="138"/>
      <c r="E37" s="138"/>
      <c r="F37" s="138"/>
      <c r="G37" s="138"/>
      <c r="H37" s="138"/>
      <c r="I37" s="138"/>
      <c r="J37" s="138"/>
      <c r="K37" s="138"/>
      <c r="L37" s="138"/>
      <c r="M37" s="138"/>
      <c r="N37" s="138"/>
      <c r="O37" s="138"/>
      <c r="P37" s="138"/>
      <c r="Q37" s="138"/>
      <c r="R37" s="138"/>
      <c r="S37" s="139"/>
    </row>
    <row r="38" spans="1:19" ht="13.5" customHeight="1">
      <c r="A38" s="140"/>
      <c r="B38" s="141"/>
      <c r="C38" s="141"/>
      <c r="D38" s="141"/>
      <c r="E38" s="141"/>
      <c r="F38" s="141"/>
      <c r="G38" s="141"/>
      <c r="H38" s="141"/>
      <c r="I38" s="141"/>
      <c r="J38" s="141"/>
      <c r="K38" s="141"/>
      <c r="L38" s="141"/>
      <c r="M38" s="141"/>
      <c r="N38" s="141"/>
      <c r="O38" s="141"/>
      <c r="P38" s="141"/>
      <c r="Q38" s="141"/>
      <c r="R38" s="141"/>
      <c r="S38" s="142"/>
    </row>
    <row r="39" spans="1:19" ht="13.5" customHeight="1">
      <c r="A39" s="140"/>
      <c r="B39" s="141"/>
      <c r="C39" s="141"/>
      <c r="D39" s="141"/>
      <c r="E39" s="141"/>
      <c r="F39" s="141"/>
      <c r="G39" s="141"/>
      <c r="H39" s="141"/>
      <c r="I39" s="141"/>
      <c r="J39" s="141"/>
      <c r="K39" s="141"/>
      <c r="L39" s="141"/>
      <c r="M39" s="141"/>
      <c r="N39" s="141"/>
      <c r="O39" s="141"/>
      <c r="P39" s="141"/>
      <c r="Q39" s="141"/>
      <c r="R39" s="141"/>
      <c r="S39" s="142"/>
    </row>
    <row r="40" spans="1:19" ht="13.5" customHeight="1">
      <c r="A40" s="140"/>
      <c r="B40" s="141"/>
      <c r="C40" s="141"/>
      <c r="D40" s="141"/>
      <c r="E40" s="141"/>
      <c r="F40" s="141"/>
      <c r="G40" s="141"/>
      <c r="H40" s="141"/>
      <c r="I40" s="141"/>
      <c r="J40" s="141"/>
      <c r="K40" s="141"/>
      <c r="L40" s="141"/>
      <c r="M40" s="141"/>
      <c r="N40" s="141"/>
      <c r="O40" s="141"/>
      <c r="P40" s="141"/>
      <c r="Q40" s="141"/>
      <c r="R40" s="141"/>
      <c r="S40" s="142"/>
    </row>
    <row r="41" spans="1:19" ht="13.5" customHeight="1">
      <c r="A41" s="140"/>
      <c r="B41" s="141"/>
      <c r="C41" s="141"/>
      <c r="D41" s="141"/>
      <c r="E41" s="141"/>
      <c r="F41" s="141"/>
      <c r="G41" s="141"/>
      <c r="H41" s="141"/>
      <c r="I41" s="141"/>
      <c r="J41" s="141"/>
      <c r="K41" s="141"/>
      <c r="L41" s="141"/>
      <c r="M41" s="141"/>
      <c r="N41" s="141"/>
      <c r="O41" s="141"/>
      <c r="P41" s="141"/>
      <c r="Q41" s="141"/>
      <c r="R41" s="141"/>
      <c r="S41" s="142"/>
    </row>
    <row r="42" spans="1:19" ht="13.5" customHeight="1">
      <c r="A42" s="140"/>
      <c r="B42" s="141"/>
      <c r="C42" s="141"/>
      <c r="D42" s="141"/>
      <c r="E42" s="141"/>
      <c r="F42" s="141"/>
      <c r="G42" s="141"/>
      <c r="H42" s="141"/>
      <c r="I42" s="141"/>
      <c r="J42" s="141"/>
      <c r="K42" s="141"/>
      <c r="L42" s="141"/>
      <c r="M42" s="141"/>
      <c r="N42" s="141"/>
      <c r="O42" s="141"/>
      <c r="P42" s="141"/>
      <c r="Q42" s="141"/>
      <c r="R42" s="141"/>
      <c r="S42" s="142"/>
    </row>
    <row r="43" spans="1:19" ht="12" customHeight="1">
      <c r="A43" s="140"/>
      <c r="B43" s="141"/>
      <c r="C43" s="141"/>
      <c r="D43" s="141"/>
      <c r="E43" s="141"/>
      <c r="F43" s="141"/>
      <c r="G43" s="141"/>
      <c r="H43" s="141"/>
      <c r="I43" s="141"/>
      <c r="J43" s="141"/>
      <c r="K43" s="141"/>
      <c r="L43" s="141"/>
      <c r="M43" s="141"/>
      <c r="N43" s="141"/>
      <c r="O43" s="141"/>
      <c r="P43" s="141"/>
      <c r="Q43" s="141"/>
      <c r="R43" s="141"/>
      <c r="S43" s="142"/>
    </row>
    <row r="44" spans="1:19" ht="13.5" customHeight="1">
      <c r="A44" s="140"/>
      <c r="B44" s="141"/>
      <c r="C44" s="141"/>
      <c r="D44" s="141"/>
      <c r="E44" s="141"/>
      <c r="F44" s="141"/>
      <c r="G44" s="141"/>
      <c r="H44" s="141"/>
      <c r="I44" s="141"/>
      <c r="J44" s="141"/>
      <c r="K44" s="141"/>
      <c r="L44" s="141"/>
      <c r="M44" s="141"/>
      <c r="N44" s="141"/>
      <c r="O44" s="141"/>
      <c r="P44" s="141"/>
      <c r="Q44" s="141"/>
      <c r="R44" s="141"/>
      <c r="S44" s="142"/>
    </row>
    <row r="45" spans="1:19" ht="13.5" customHeight="1">
      <c r="A45" s="140"/>
      <c r="B45" s="141"/>
      <c r="C45" s="141"/>
      <c r="D45" s="141"/>
      <c r="E45" s="141"/>
      <c r="F45" s="141"/>
      <c r="G45" s="141"/>
      <c r="H45" s="141"/>
      <c r="I45" s="141"/>
      <c r="J45" s="141"/>
      <c r="K45" s="141"/>
      <c r="L45" s="141"/>
      <c r="M45" s="141"/>
      <c r="N45" s="141"/>
      <c r="O45" s="141"/>
      <c r="P45" s="141"/>
      <c r="Q45" s="141"/>
      <c r="R45" s="141"/>
      <c r="S45" s="142"/>
    </row>
    <row r="46" spans="1:19" ht="13.5" customHeight="1">
      <c r="A46" s="140"/>
      <c r="B46" s="141"/>
      <c r="C46" s="141"/>
      <c r="D46" s="141"/>
      <c r="E46" s="141"/>
      <c r="F46" s="141"/>
      <c r="G46" s="141"/>
      <c r="H46" s="141"/>
      <c r="I46" s="141"/>
      <c r="J46" s="141"/>
      <c r="K46" s="141"/>
      <c r="L46" s="141"/>
      <c r="M46" s="141"/>
      <c r="N46" s="141"/>
      <c r="O46" s="141"/>
      <c r="P46" s="141"/>
      <c r="Q46" s="141"/>
      <c r="R46" s="141"/>
      <c r="S46" s="142"/>
    </row>
    <row r="47" spans="1:19" ht="13.5" customHeight="1">
      <c r="A47" s="140"/>
      <c r="B47" s="141"/>
      <c r="C47" s="141"/>
      <c r="D47" s="141"/>
      <c r="E47" s="141"/>
      <c r="F47" s="141"/>
      <c r="G47" s="141"/>
      <c r="H47" s="141"/>
      <c r="I47" s="141"/>
      <c r="J47" s="141"/>
      <c r="K47" s="141"/>
      <c r="L47" s="141"/>
      <c r="M47" s="141"/>
      <c r="N47" s="141"/>
      <c r="O47" s="141"/>
      <c r="P47" s="141"/>
      <c r="Q47" s="141"/>
      <c r="R47" s="141"/>
      <c r="S47" s="142"/>
    </row>
    <row r="48" spans="1:19" ht="13.5" customHeight="1">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c r="A49" s="143"/>
      <c r="B49" s="144"/>
      <c r="C49" s="144"/>
      <c r="D49" s="144"/>
      <c r="E49" s="144"/>
      <c r="F49" s="144"/>
      <c r="G49" s="144"/>
      <c r="H49" s="144"/>
      <c r="I49" s="144"/>
      <c r="J49" s="144"/>
      <c r="K49" s="144"/>
      <c r="L49" s="144"/>
      <c r="M49" s="144"/>
      <c r="N49" s="144"/>
      <c r="O49" s="144"/>
      <c r="P49" s="144"/>
      <c r="Q49" s="144"/>
      <c r="R49" s="144"/>
      <c r="S49" s="145"/>
    </row>
    <row r="50" spans="1:21" ht="12" customHeight="1" thickBot="1">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c r="A53" s="161"/>
      <c r="B53" s="162"/>
      <c r="C53" s="162"/>
      <c r="D53" s="162"/>
      <c r="E53" s="162"/>
      <c r="F53" s="162"/>
      <c r="G53" s="162"/>
      <c r="H53" s="162"/>
      <c r="I53" s="162"/>
      <c r="J53" s="162"/>
      <c r="K53" s="162"/>
      <c r="L53" s="162"/>
      <c r="M53" s="162"/>
      <c r="N53" s="162"/>
      <c r="O53" s="162"/>
      <c r="P53" s="162"/>
      <c r="Q53" s="163"/>
      <c r="R53" s="150"/>
      <c r="S53" s="151"/>
    </row>
    <row r="54" spans="1:21" ht="11.25" customHeight="1">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cooks</cp:lastModifiedBy>
  <cp:lastPrinted>2015-04-27T18:55:03Z</cp:lastPrinted>
  <dcterms:created xsi:type="dcterms:W3CDTF">2000-10-24T15:57:25Z</dcterms:created>
  <dcterms:modified xsi:type="dcterms:W3CDTF">2015-04-27T18:55:06Z</dcterms:modified>
</cp:coreProperties>
</file>