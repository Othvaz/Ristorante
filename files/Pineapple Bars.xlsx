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<sst xmlns="http://schemas.openxmlformats.org/spreadsheetml/2006/main" count="61" uniqueCount="54">
  <si>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</si>
  <si>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</si>
  <si>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</si>
  <si>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</si>
  <si>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</si>
  <si>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</si>
  <si>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</si>
  <si>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</si>
  <si>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</si>
  <si>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</si>
  <si>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</si>
  <si>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</si>
  <si>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</si>
  <si>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</si>
  <si>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</si>
  <si>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</si>
  <si>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</si>
  <si>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</si>
  <si>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</si>
  <si>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</si>
  <si>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</si>
  <si>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</si>
  <si>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</si>
  <si>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</si>
  <si>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</si>
  <si>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</si>
  <si>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</si>
  <si>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</si>
  <si>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</si>
  <si>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</si>
  <si>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</si>
  <si>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</si>
  <si>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</si>
  <si>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</si>
  <si>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</si>
  <si>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</si>
  <si>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Pineapple Bars</t>
  </si>
  <si>
    <t>Butter</t>
  </si>
  <si>
    <t>T</t>
  </si>
  <si>
    <t>Sugar</t>
  </si>
  <si>
    <t>eggs</t>
  </si>
  <si>
    <t>ct</t>
  </si>
  <si>
    <t>AP Flour</t>
  </si>
  <si>
    <t xml:space="preserve">c </t>
  </si>
  <si>
    <t>Baking Powder</t>
  </si>
  <si>
    <t>t</t>
  </si>
  <si>
    <t>pineapple</t>
  </si>
  <si>
    <t>lbs</t>
  </si>
  <si>
    <t>Topping</t>
  </si>
  <si>
    <t>Egg</t>
  </si>
  <si>
    <t>Coconut Flake</t>
  </si>
  <si>
    <t>c</t>
  </si>
  <si>
    <t>allrecipes.com</t>
  </si>
  <si>
    <t xml:space="preserve">1. In a mixing bowl, beat butter and sugar. Beat in egg. Combine flour and baking powder; stir into egg mixture. Press into baking dish coated with nonstick cooking spray. Spread pineapple over crust; set aside. 
2. For topping, in a mixing bowl, beat butter and sugar. Beat in eggs. Stir in coconut. Spread over pineapple. Bake at 325 degrees F for 35-40 minutes or until golden brown. Cool before cutting.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</si>
</sst>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7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 t="s">
        <v>52</v>
      </c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120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15</v>
      </c>
      <c r="K12" s="15"/>
      <c r="L12" s="33" t="s">
        <v>38</v>
      </c>
      <c r="M12" s="16"/>
      <c r="N12" s="29">
        <f t="shared" ref="N12:N31" si="0">IF(C12=0," ",(J12/$J$33)*50)</f>
        <v>6.25</v>
      </c>
      <c r="O12" s="30">
        <f t="shared" ref="O12:O31" si="1">IF(C12=0," ",(J12/$J$33)*75)</f>
        <v>9.375</v>
      </c>
      <c r="P12" s="30"/>
      <c r="Q12" s="82">
        <f t="shared" ref="Q12:Q31" si="2">IF(C12=0," ",(J12/$J$33)*$Q$9)</f>
        <v>15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39</v>
      </c>
      <c r="D13" s="109"/>
      <c r="E13" s="109"/>
      <c r="F13" s="109"/>
      <c r="G13" s="109"/>
      <c r="H13" s="109"/>
      <c r="I13" s="110"/>
      <c r="J13" s="63">
        <v>22</v>
      </c>
      <c r="K13" s="64"/>
      <c r="L13" s="70" t="s">
        <v>38</v>
      </c>
      <c r="M13" s="65"/>
      <c r="N13" s="66">
        <f t="shared" si="0"/>
        <v>9.1666666666666661</v>
      </c>
      <c r="O13" s="67">
        <f t="shared" si="1"/>
        <v>13.749999999999998</v>
      </c>
      <c r="P13" s="67"/>
      <c r="Q13" s="78">
        <f>IF(C13=0," ",(J13/$J$33)*$Q$9)</f>
        <v>22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40</v>
      </c>
      <c r="D14" s="80"/>
      <c r="E14" s="80"/>
      <c r="F14" s="80"/>
      <c r="G14" s="80"/>
      <c r="H14" s="80"/>
      <c r="I14" s="81"/>
      <c r="J14" s="56">
        <v>7</v>
      </c>
      <c r="K14" s="15"/>
      <c r="L14" s="34" t="s">
        <v>41</v>
      </c>
      <c r="M14" s="16"/>
      <c r="N14" s="29">
        <f t="shared" si="0"/>
        <v>2.9166666666666665</v>
      </c>
      <c r="O14" s="30">
        <f t="shared" si="1"/>
        <v>4.375</v>
      </c>
      <c r="P14" s="30"/>
      <c r="Q14" s="82">
        <f>IF(C14=0," ",(J14/$J$33)*$Q$9)</f>
        <v>7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42</v>
      </c>
      <c r="D15" s="109"/>
      <c r="E15" s="109"/>
      <c r="F15" s="109"/>
      <c r="G15" s="109"/>
      <c r="H15" s="109"/>
      <c r="I15" s="110"/>
      <c r="J15" s="63">
        <v>7.5</v>
      </c>
      <c r="K15" s="64"/>
      <c r="L15" s="70" t="s">
        <v>43</v>
      </c>
      <c r="M15" s="71"/>
      <c r="N15" s="66">
        <f t="shared" si="0"/>
        <v>3.125</v>
      </c>
      <c r="O15" s="67">
        <f t="shared" si="1"/>
        <v>4.6875</v>
      </c>
      <c r="P15" s="67"/>
      <c r="Q15" s="78">
        <f>IF(C15=0," ",(J15/$J$33)*$Q$9)</f>
        <v>7.5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44</v>
      </c>
      <c r="D16" s="80"/>
      <c r="E16" s="80"/>
      <c r="F16" s="80"/>
      <c r="G16" s="80"/>
      <c r="H16" s="80"/>
      <c r="I16" s="81"/>
      <c r="J16" s="56">
        <v>7.5</v>
      </c>
      <c r="K16" s="15"/>
      <c r="L16" s="34" t="s">
        <v>45</v>
      </c>
      <c r="M16" s="16"/>
      <c r="N16" s="29">
        <f t="shared" si="0"/>
        <v>3.125</v>
      </c>
      <c r="O16" s="30">
        <f t="shared" si="1"/>
        <v>4.6875</v>
      </c>
      <c r="P16" s="30"/>
      <c r="Q16" s="82">
        <f t="shared" si="2"/>
        <v>7.5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46</v>
      </c>
      <c r="D17" s="109"/>
      <c r="E17" s="109"/>
      <c r="F17" s="109"/>
      <c r="G17" s="109"/>
      <c r="H17" s="109"/>
      <c r="I17" s="110"/>
      <c r="J17" s="63">
        <v>7</v>
      </c>
      <c r="K17" s="64"/>
      <c r="L17" s="70" t="s">
        <v>47</v>
      </c>
      <c r="M17" s="65"/>
      <c r="N17" s="66">
        <f t="shared" si="0"/>
        <v>2.9166666666666665</v>
      </c>
      <c r="O17" s="67">
        <f t="shared" si="1"/>
        <v>4.375</v>
      </c>
      <c r="P17" s="67"/>
      <c r="Q17" s="78">
        <f>IF(C17=0," ",(J17/$J$33)*$Q$9)</f>
        <v>7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48</v>
      </c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>
        <f t="shared" si="0"/>
        <v>0</v>
      </c>
      <c r="O19" s="67">
        <f t="shared" si="1"/>
        <v>0</v>
      </c>
      <c r="P19" s="67"/>
      <c r="Q19" s="78">
        <f t="shared" ref="Q19" si="3">IF(C19=0," ",(J19/$J$33)*$Q$9)</f>
        <v>0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37</v>
      </c>
      <c r="D20" s="80"/>
      <c r="E20" s="80"/>
      <c r="F20" s="80"/>
      <c r="G20" s="80"/>
      <c r="H20" s="80"/>
      <c r="I20" s="81"/>
      <c r="J20" s="56">
        <v>8</v>
      </c>
      <c r="K20" s="15"/>
      <c r="L20" s="34" t="s">
        <v>38</v>
      </c>
      <c r="M20" s="16"/>
      <c r="N20" s="29">
        <f t="shared" si="0"/>
        <v>3.3333333333333335</v>
      </c>
      <c r="O20" s="30">
        <f t="shared" si="1"/>
        <v>5</v>
      </c>
      <c r="P20" s="30"/>
      <c r="Q20" s="82">
        <f>IF(C20=0," ",(J20/$J$33)*$Q$9)</f>
        <v>8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39</v>
      </c>
      <c r="D21" s="109"/>
      <c r="E21" s="109"/>
      <c r="F21" s="109"/>
      <c r="G21" s="109"/>
      <c r="H21" s="109"/>
      <c r="I21" s="110"/>
      <c r="J21" s="63">
        <v>7.5</v>
      </c>
      <c r="K21" s="64"/>
      <c r="L21" s="70" t="s">
        <v>51</v>
      </c>
      <c r="M21" s="65"/>
      <c r="N21" s="66">
        <f t="shared" si="0"/>
        <v>3.125</v>
      </c>
      <c r="O21" s="67">
        <f t="shared" si="1"/>
        <v>4.6875</v>
      </c>
      <c r="P21" s="67"/>
      <c r="Q21" s="78">
        <f t="shared" si="2"/>
        <v>7.5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 t="s">
        <v>49</v>
      </c>
      <c r="D22" s="80"/>
      <c r="E22" s="80"/>
      <c r="F22" s="80"/>
      <c r="G22" s="80"/>
      <c r="H22" s="80"/>
      <c r="I22" s="81"/>
      <c r="J22" s="56">
        <v>15</v>
      </c>
      <c r="K22" s="15"/>
      <c r="L22" s="34" t="s">
        <v>41</v>
      </c>
      <c r="M22" s="16"/>
      <c r="N22" s="29">
        <f t="shared" si="0"/>
        <v>6.25</v>
      </c>
      <c r="O22" s="30">
        <f t="shared" si="1"/>
        <v>9.375</v>
      </c>
      <c r="P22" s="30"/>
      <c r="Q22" s="82">
        <f t="shared" si="2"/>
        <v>15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 t="s">
        <v>50</v>
      </c>
      <c r="D23" s="109"/>
      <c r="E23" s="109"/>
      <c r="F23" s="109"/>
      <c r="G23" s="109"/>
      <c r="H23" s="109"/>
      <c r="I23" s="110"/>
      <c r="J23" s="63">
        <v>15</v>
      </c>
      <c r="K23" s="64"/>
      <c r="L23" s="70" t="s">
        <v>51</v>
      </c>
      <c r="M23" s="65"/>
      <c r="N23" s="66">
        <f t="shared" si="0"/>
        <v>6.25</v>
      </c>
      <c r="O23" s="67">
        <f t="shared" si="1"/>
        <v>9.375</v>
      </c>
      <c r="P23" s="67"/>
      <c r="Q23" s="78">
        <f>IF(C23=0," ",(J23/$J$33)*$Q$9)</f>
        <v>15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120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53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2012-08-07T17:18:33Z</dcterms:modified>
</cp:coreProperties>
</file>