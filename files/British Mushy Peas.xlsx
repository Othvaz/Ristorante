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Public\Recipes\English Recipes\"/>
    </mc:Choice>
  </mc:AlternateContent>
  <bookViews>
    <workbookView xWindow="816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62913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 shape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 shapeId="0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 shape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 shapeId="0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 shape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 shape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 shapeId="0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 shapeId="0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 shapeId="0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 shapeId="0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 shapeId="0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 shapeId="0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<sst xmlns="http://schemas.openxmlformats.org/spreadsheetml/2006/main" count="50" uniqueCount="48">
  <si>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</si>
  <si>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</si>
  <si>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</si>
  <si>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</si>
  <si>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</si>
  <si>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</si>
  <si>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</si>
  <si>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</si>
  <si>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</si>
  <si>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</si>
  <si>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</si>
  <si>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</si>
  <si>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</si>
  <si>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</si>
  <si>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</si>
  <si>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</si>
  <si>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</si>
  <si>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</si>
  <si>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</si>
  <si>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</si>
  <si>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</si>
  <si>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</si>
  <si>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</si>
  <si>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</si>
  <si>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</si>
  <si>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</si>
  <si>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</si>
  <si>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</si>
  <si>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</si>
  <si>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</si>
  <si>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</si>
  <si>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</si>
  <si>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</si>
  <si>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</si>
  <si>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</si>
  <si>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</si>
  <si>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British Mushy Peas</t>
  </si>
  <si>
    <t>BBCgoodfood</t>
  </si>
  <si>
    <t>Peas</t>
  </si>
  <si>
    <t>#</t>
  </si>
  <si>
    <t>Butter</t>
  </si>
  <si>
    <t>Mint, minced</t>
  </si>
  <si>
    <t>oz</t>
  </si>
  <si>
    <t>Lemon, zested and squeezed</t>
  </si>
  <si>
    <t>ct</t>
  </si>
  <si>
    <t>salt</t>
  </si>
  <si>
    <t>Taste</t>
  </si>
  <si>
    <t>Boil or steam peas, drain, add melted butter, mint, lemon, then mash.  Salt to desired taste.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</si>
</sst>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zoomScaleSheetLayoutView="110" workbookViewId="0">
      <selection activeCell="V8" sqref="V8"/>
    </sheetView>
  </sheetViews>
  <sheetFormatPr defaultColWidth="9.109375" defaultRowHeight="13.2" x14ac:dyDescent="0.25"/>
  <cols>
    <col min="1" max="1" width="3.33203125" style="6" customWidth="1"/>
    <col min="2" max="2" width="1.33203125" style="6" customWidth="1"/>
    <col min="3" max="3" width="3.6640625" style="6" customWidth="1"/>
    <col min="4" max="4" width="0.6640625" style="6" customWidth="1"/>
    <col min="5" max="5" width="9.44140625" style="6" customWidth="1"/>
    <col min="6" max="6" width="0.5546875" style="6" hidden="1" customWidth="1"/>
    <col min="7" max="7" width="7.5546875" style="6" customWidth="1"/>
    <col min="8" max="8" width="10.5546875" style="7" customWidth="1"/>
    <col min="9" max="9" width="7" style="7" customWidth="1"/>
    <col min="10" max="10" width="6.5546875" style="7" customWidth="1"/>
    <col min="11" max="11" width="0.6640625" style="7" customWidth="1"/>
    <col min="12" max="12" width="5.44140625" style="7" customWidth="1"/>
    <col min="13" max="13" width="0.6640625" style="7" customWidth="1"/>
    <col min="14" max="14" width="8.88671875" style="7" customWidth="1"/>
    <col min="15" max="15" width="13.5546875" style="7" customWidth="1"/>
    <col min="16" max="16" width="0.6640625" style="7" customWidth="1"/>
    <col min="17" max="17" width="4.5546875" style="7" customWidth="1"/>
    <col min="18" max="18" width="3.33203125" style="7" customWidth="1"/>
    <col min="19" max="19" width="1.44140625" style="7" customWidth="1"/>
    <col min="20" max="16384" width="9.109375" style="7"/>
  </cols>
  <sheetData>
    <row r="1" spans="1:29" ht="18" customHeight="1" thickBot="1" x14ac:dyDescent="0.4">
      <c r="A1" s="25"/>
      <c r="B1" s="25"/>
      <c r="C1" s="26"/>
      <c r="D1" s="142" t="s">
        <v>35</v>
      </c>
      <c r="E1" s="142"/>
      <c r="F1" s="42"/>
      <c r="G1" s="145" t="s">
        <v>36</v>
      </c>
      <c r="H1" s="145"/>
      <c r="I1" s="145"/>
      <c r="J1" s="145"/>
      <c r="K1" s="145"/>
      <c r="L1" s="145"/>
      <c r="M1" s="145"/>
      <c r="N1" s="145"/>
      <c r="O1" s="145"/>
      <c r="P1" s="46"/>
      <c r="Q1" s="122"/>
      <c r="R1" s="123"/>
      <c r="S1" s="124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4">
      <c r="A2" s="25"/>
      <c r="B2" s="25"/>
      <c r="C2" s="26"/>
      <c r="D2" s="142" t="s">
        <v>34</v>
      </c>
      <c r="E2" s="142"/>
      <c r="F2" s="41"/>
      <c r="G2" s="146"/>
      <c r="H2" s="147"/>
      <c r="I2" s="147"/>
      <c r="J2" s="147"/>
      <c r="K2" s="147"/>
      <c r="L2" s="147"/>
      <c r="M2" s="147"/>
      <c r="N2" s="147"/>
      <c r="O2" s="148"/>
      <c r="P2" s="39"/>
      <c r="Q2" s="122"/>
      <c r="R2" s="123"/>
      <c r="S2" s="124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4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45">
      <c r="A4" s="143" t="s">
        <v>29</v>
      </c>
      <c r="B4" s="144"/>
      <c r="C4" s="144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1"/>
      <c r="P4" s="40"/>
      <c r="Q4" s="125" t="s">
        <v>30</v>
      </c>
      <c r="R4" s="125"/>
      <c r="S4" s="125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45">
      <c r="A5" s="59"/>
      <c r="B5" s="60"/>
      <c r="C5" s="60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3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5">
      <c r="A6" s="61"/>
      <c r="B6" s="62"/>
      <c r="C6" s="62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5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5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160" t="s">
        <v>10</v>
      </c>
      <c r="R7" s="160"/>
      <c r="S7" s="160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5">
      <c r="A8" s="156" t="s">
        <v>31</v>
      </c>
      <c r="B8" s="157"/>
      <c r="C8" s="157"/>
      <c r="D8" s="53"/>
      <c r="E8" s="158" t="s">
        <v>37</v>
      </c>
      <c r="F8" s="158"/>
      <c r="G8" s="158"/>
      <c r="H8" s="158"/>
      <c r="I8" s="158"/>
      <c r="J8" s="158"/>
      <c r="K8" s="158"/>
      <c r="L8" s="158"/>
      <c r="M8" s="158"/>
      <c r="N8" s="158"/>
      <c r="O8" s="159"/>
      <c r="P8" s="40"/>
      <c r="Q8" s="161" t="s">
        <v>32</v>
      </c>
      <c r="R8" s="161"/>
      <c r="S8" s="161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5">
      <c r="A9" s="162" t="s">
        <v>33</v>
      </c>
      <c r="B9" s="163"/>
      <c r="C9" s="163"/>
      <c r="D9" s="57"/>
      <c r="E9" s="164"/>
      <c r="F9" s="165"/>
      <c r="G9" s="165"/>
      <c r="H9" s="165"/>
      <c r="I9" s="165"/>
      <c r="J9" s="165"/>
      <c r="K9" s="165"/>
      <c r="L9" s="165"/>
      <c r="M9" s="165"/>
      <c r="N9" s="165"/>
      <c r="O9" s="166"/>
      <c r="P9" s="27"/>
      <c r="Q9" s="127">
        <v>40</v>
      </c>
      <c r="R9" s="128"/>
      <c r="S9" s="129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3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5">
      <c r="A11" s="133" t="s">
        <v>28</v>
      </c>
      <c r="B11" s="134"/>
      <c r="C11" s="134"/>
      <c r="D11" s="134"/>
      <c r="E11" s="134"/>
      <c r="F11" s="134"/>
      <c r="G11" s="134"/>
      <c r="H11" s="134"/>
      <c r="I11" s="135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6" t="s">
        <v>15</v>
      </c>
      <c r="R11" s="126"/>
      <c r="S11" s="126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5">
      <c r="A12" s="44" t="s">
        <v>0</v>
      </c>
      <c r="B12" s="45"/>
      <c r="C12" s="140" t="s">
        <v>38</v>
      </c>
      <c r="D12" s="140"/>
      <c r="E12" s="140"/>
      <c r="F12" s="140"/>
      <c r="G12" s="140"/>
      <c r="H12" s="140"/>
      <c r="I12" s="141"/>
      <c r="J12" s="56">
        <v>4</v>
      </c>
      <c r="K12" s="15"/>
      <c r="L12" s="33" t="s">
        <v>39</v>
      </c>
      <c r="M12" s="16"/>
      <c r="N12" s="29">
        <f t="shared" ref="N12:N31" si="0">IF(C12=0," ",(J12/$J$33)*50)</f>
        <v>5</v>
      </c>
      <c r="O12" s="30">
        <f t="shared" ref="O12:O31" si="1">IF(C12=0," ",(J12/$J$33)*75)</f>
        <v>7.5</v>
      </c>
      <c r="P12" s="30"/>
      <c r="Q12" s="86">
        <f t="shared" ref="Q12:Q31" si="2">IF(C12=0," ",(J12/$J$33)*$Q$9)</f>
        <v>4</v>
      </c>
      <c r="R12" s="86"/>
      <c r="S12" s="87"/>
      <c r="U12" s="9"/>
      <c r="V12" s="9"/>
    </row>
    <row r="13" spans="1:29" ht="12.75" customHeight="1" x14ac:dyDescent="0.25">
      <c r="A13" s="68" t="s">
        <v>1</v>
      </c>
      <c r="B13" s="69"/>
      <c r="C13" s="103" t="s">
        <v>40</v>
      </c>
      <c r="D13" s="103"/>
      <c r="E13" s="103"/>
      <c r="F13" s="103"/>
      <c r="G13" s="103"/>
      <c r="H13" s="103"/>
      <c r="I13" s="104"/>
      <c r="J13" s="63">
        <v>0.25</v>
      </c>
      <c r="K13" s="64"/>
      <c r="L13" s="70" t="s">
        <v>39</v>
      </c>
      <c r="M13" s="65"/>
      <c r="N13" s="66">
        <f t="shared" si="0"/>
        <v>0.3125</v>
      </c>
      <c r="O13" s="67">
        <f t="shared" si="1"/>
        <v>0.46875</v>
      </c>
      <c r="P13" s="67"/>
      <c r="Q13" s="84">
        <f>IF(C13=0," ",(J13/$J$33)*$Q$9)</f>
        <v>0.25</v>
      </c>
      <c r="R13" s="84"/>
      <c r="S13" s="85"/>
      <c r="U13" s="9"/>
      <c r="V13" s="9"/>
    </row>
    <row r="14" spans="1:29" ht="12.75" customHeight="1" x14ac:dyDescent="0.25">
      <c r="A14" s="50" t="s">
        <v>2</v>
      </c>
      <c r="B14" s="51"/>
      <c r="C14" s="105" t="s">
        <v>41</v>
      </c>
      <c r="D14" s="105"/>
      <c r="E14" s="105"/>
      <c r="F14" s="105"/>
      <c r="G14" s="105"/>
      <c r="H14" s="105"/>
      <c r="I14" s="106"/>
      <c r="J14" s="56">
        <v>2</v>
      </c>
      <c r="K14" s="15"/>
      <c r="L14" s="34" t="s">
        <v>42</v>
      </c>
      <c r="M14" s="16"/>
      <c r="N14" s="29">
        <f t="shared" si="0"/>
        <v>2.5</v>
      </c>
      <c r="O14" s="30">
        <f t="shared" si="1"/>
        <v>3.75</v>
      </c>
      <c r="P14" s="30"/>
      <c r="Q14" s="86">
        <f>IF(C14=0," ",(J14/$J$33)*$Q$9)</f>
        <v>2</v>
      </c>
      <c r="R14" s="86"/>
      <c r="S14" s="87"/>
      <c r="U14" s="9"/>
      <c r="V14" s="9"/>
    </row>
    <row r="15" spans="1:29" ht="12.75" customHeight="1" x14ac:dyDescent="0.25">
      <c r="A15" s="68" t="s">
        <v>3</v>
      </c>
      <c r="B15" s="69"/>
      <c r="C15" s="103" t="s">
        <v>43</v>
      </c>
      <c r="D15" s="103"/>
      <c r="E15" s="103"/>
      <c r="F15" s="103"/>
      <c r="G15" s="103"/>
      <c r="H15" s="103"/>
      <c r="I15" s="104"/>
      <c r="J15" s="63">
        <v>3</v>
      </c>
      <c r="K15" s="64"/>
      <c r="L15" s="70" t="s">
        <v>44</v>
      </c>
      <c r="M15" s="71"/>
      <c r="N15" s="66">
        <f t="shared" si="0"/>
        <v>3.75</v>
      </c>
      <c r="O15" s="67">
        <f t="shared" si="1"/>
        <v>5.625</v>
      </c>
      <c r="P15" s="67"/>
      <c r="Q15" s="84">
        <f>IF(C15=0," ",(J15/$J$33)*$Q$9)</f>
        <v>3</v>
      </c>
      <c r="R15" s="84"/>
      <c r="S15" s="85"/>
      <c r="U15" s="9"/>
      <c r="V15" s="9"/>
    </row>
    <row r="16" spans="1:29" ht="12.75" customHeight="1" x14ac:dyDescent="0.25">
      <c r="A16" s="50" t="s">
        <v>4</v>
      </c>
      <c r="B16" s="51"/>
      <c r="C16" s="105" t="s">
        <v>45</v>
      </c>
      <c r="D16" s="105"/>
      <c r="E16" s="105"/>
      <c r="F16" s="105"/>
      <c r="G16" s="105"/>
      <c r="H16" s="105"/>
      <c r="I16" s="106"/>
      <c r="J16" s="56" t="s">
        <v>46</v>
      </c>
      <c r="K16" s="15"/>
      <c r="L16" s="34"/>
      <c r="M16" s="16"/>
      <c r="N16" s="29" t="e">
        <f t="shared" si="0"/>
        <v>#VALUE!</v>
      </c>
      <c r="O16" s="30" t="e">
        <f t="shared" si="1"/>
        <v>#VALUE!</v>
      </c>
      <c r="P16" s="30"/>
      <c r="Q16" s="86" t="e">
        <f t="shared" si="2"/>
        <v>#VALUE!</v>
      </c>
      <c r="R16" s="86"/>
      <c r="S16" s="87"/>
      <c r="U16" s="9"/>
      <c r="V16" s="9"/>
    </row>
    <row r="17" spans="1:23" ht="12.75" customHeight="1" x14ac:dyDescent="0.25">
      <c r="A17" s="68" t="s">
        <v>5</v>
      </c>
      <c r="B17" s="69"/>
      <c r="C17" s="103"/>
      <c r="D17" s="103"/>
      <c r="E17" s="103"/>
      <c r="F17" s="103"/>
      <c r="G17" s="103"/>
      <c r="H17" s="103"/>
      <c r="I17" s="104"/>
      <c r="J17" s="63"/>
      <c r="K17" s="64"/>
      <c r="L17" s="70"/>
      <c r="M17" s="65"/>
      <c r="N17" s="66" t="str">
        <f t="shared" si="0"/>
        <v xml:space="preserve"> </v>
      </c>
      <c r="O17" s="67" t="str">
        <f t="shared" si="1"/>
        <v xml:space="preserve"> </v>
      </c>
      <c r="P17" s="67"/>
      <c r="Q17" s="84" t="str">
        <f>IF(C17=0," ",(J17/$J$33)*$Q$9)</f>
        <v xml:space="preserve"> </v>
      </c>
      <c r="R17" s="84"/>
      <c r="S17" s="85"/>
      <c r="U17" s="9"/>
      <c r="V17" s="9"/>
    </row>
    <row r="18" spans="1:23" ht="12.75" customHeight="1" x14ac:dyDescent="0.25">
      <c r="A18" s="50" t="s">
        <v>6</v>
      </c>
      <c r="B18" s="51"/>
      <c r="C18" s="105"/>
      <c r="D18" s="105"/>
      <c r="E18" s="105"/>
      <c r="F18" s="105"/>
      <c r="G18" s="105"/>
      <c r="H18" s="105"/>
      <c r="I18" s="106"/>
      <c r="J18" s="56"/>
      <c r="K18" s="15"/>
      <c r="L18" s="34"/>
      <c r="M18" s="16"/>
      <c r="N18" s="29" t="str">
        <f t="shared" si="0"/>
        <v xml:space="preserve"> </v>
      </c>
      <c r="O18" s="30" t="str">
        <f t="shared" si="1"/>
        <v xml:space="preserve"> </v>
      </c>
      <c r="P18" s="30"/>
      <c r="Q18" s="86" t="str">
        <f t="shared" si="2"/>
        <v xml:space="preserve"> </v>
      </c>
      <c r="R18" s="86"/>
      <c r="S18" s="87"/>
      <c r="U18" s="9"/>
      <c r="V18" s="9"/>
    </row>
    <row r="19" spans="1:23" ht="12.75" customHeight="1" x14ac:dyDescent="0.25">
      <c r="A19" s="68" t="s">
        <v>7</v>
      </c>
      <c r="B19" s="69"/>
      <c r="C19" s="103"/>
      <c r="D19" s="103"/>
      <c r="E19" s="103"/>
      <c r="F19" s="103"/>
      <c r="G19" s="103"/>
      <c r="H19" s="103"/>
      <c r="I19" s="104"/>
      <c r="J19" s="63"/>
      <c r="K19" s="64"/>
      <c r="L19" s="70"/>
      <c r="M19" s="65"/>
      <c r="N19" s="66" t="str">
        <f t="shared" si="0"/>
        <v xml:space="preserve"> </v>
      </c>
      <c r="O19" s="67" t="str">
        <f t="shared" si="1"/>
        <v xml:space="preserve"> </v>
      </c>
      <c r="P19" s="67"/>
      <c r="Q19" s="84" t="str">
        <f t="shared" ref="Q19" si="3">IF(C19=0," ",(J19/$J$33)*$Q$9)</f>
        <v xml:space="preserve"> </v>
      </c>
      <c r="R19" s="84"/>
      <c r="S19" s="85"/>
      <c r="U19" s="9"/>
      <c r="V19" s="9"/>
    </row>
    <row r="20" spans="1:23" ht="12.75" customHeight="1" x14ac:dyDescent="0.25">
      <c r="A20" s="50" t="s">
        <v>8</v>
      </c>
      <c r="B20" s="51"/>
      <c r="C20" s="105"/>
      <c r="D20" s="105"/>
      <c r="E20" s="105"/>
      <c r="F20" s="105"/>
      <c r="G20" s="105"/>
      <c r="H20" s="105"/>
      <c r="I20" s="106"/>
      <c r="J20" s="56"/>
      <c r="K20" s="15"/>
      <c r="L20" s="34"/>
      <c r="M20" s="16"/>
      <c r="N20" s="29" t="str">
        <f t="shared" si="0"/>
        <v xml:space="preserve"> </v>
      </c>
      <c r="O20" s="30" t="str">
        <f t="shared" si="1"/>
        <v xml:space="preserve"> </v>
      </c>
      <c r="P20" s="30"/>
      <c r="Q20" s="86" t="str">
        <f>IF(C20=0," ",(J20/$J$33)*$Q$9)</f>
        <v xml:space="preserve"> </v>
      </c>
      <c r="R20" s="86"/>
      <c r="S20" s="87"/>
      <c r="U20" s="9"/>
      <c r="V20" s="9"/>
    </row>
    <row r="21" spans="1:23" ht="12.75" customHeight="1" x14ac:dyDescent="0.25">
      <c r="A21" s="68" t="s">
        <v>9</v>
      </c>
      <c r="B21" s="69"/>
      <c r="C21" s="103"/>
      <c r="D21" s="103"/>
      <c r="E21" s="103"/>
      <c r="F21" s="103"/>
      <c r="G21" s="103"/>
      <c r="H21" s="103"/>
      <c r="I21" s="104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84" t="str">
        <f t="shared" si="2"/>
        <v xml:space="preserve"> </v>
      </c>
      <c r="R21" s="84"/>
      <c r="S21" s="85"/>
      <c r="U21" s="9"/>
      <c r="V21" s="9"/>
    </row>
    <row r="22" spans="1:23" ht="12.75" customHeight="1" x14ac:dyDescent="0.25">
      <c r="A22" s="50" t="s">
        <v>17</v>
      </c>
      <c r="B22" s="51"/>
      <c r="C22" s="105"/>
      <c r="D22" s="105"/>
      <c r="E22" s="105"/>
      <c r="F22" s="105"/>
      <c r="G22" s="105"/>
      <c r="H22" s="105"/>
      <c r="I22" s="106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6" t="str">
        <f t="shared" si="2"/>
        <v xml:space="preserve"> </v>
      </c>
      <c r="R22" s="86"/>
      <c r="S22" s="87"/>
      <c r="U22" s="9"/>
      <c r="V22" s="9"/>
      <c r="W22" s="9"/>
    </row>
    <row r="23" spans="1:23" ht="12.75" customHeight="1" x14ac:dyDescent="0.25">
      <c r="A23" s="68" t="s">
        <v>18</v>
      </c>
      <c r="B23" s="69"/>
      <c r="C23" s="103"/>
      <c r="D23" s="103"/>
      <c r="E23" s="103"/>
      <c r="F23" s="103"/>
      <c r="G23" s="103"/>
      <c r="H23" s="103"/>
      <c r="I23" s="104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84" t="str">
        <f>IF(C23=0," ",(J23/$J$33)*$Q$9)</f>
        <v xml:space="preserve"> </v>
      </c>
      <c r="R23" s="84"/>
      <c r="S23" s="85"/>
      <c r="U23" s="9"/>
      <c r="V23" s="9"/>
    </row>
    <row r="24" spans="1:23" ht="12.75" customHeight="1" x14ac:dyDescent="0.25">
      <c r="A24" s="50" t="s">
        <v>19</v>
      </c>
      <c r="B24" s="51"/>
      <c r="C24" s="105"/>
      <c r="D24" s="105"/>
      <c r="E24" s="105"/>
      <c r="F24" s="105"/>
      <c r="G24" s="105"/>
      <c r="H24" s="105"/>
      <c r="I24" s="106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6" t="str">
        <f t="shared" si="2"/>
        <v xml:space="preserve"> </v>
      </c>
      <c r="R24" s="86"/>
      <c r="S24" s="87"/>
      <c r="U24" s="9"/>
      <c r="V24" s="9"/>
    </row>
    <row r="25" spans="1:23" ht="12.75" customHeight="1" x14ac:dyDescent="0.25">
      <c r="A25" s="68" t="s">
        <v>20</v>
      </c>
      <c r="B25" s="69"/>
      <c r="C25" s="103"/>
      <c r="D25" s="103"/>
      <c r="E25" s="103"/>
      <c r="F25" s="103"/>
      <c r="G25" s="103"/>
      <c r="H25" s="103"/>
      <c r="I25" s="104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84" t="str">
        <f t="shared" si="2"/>
        <v xml:space="preserve"> </v>
      </c>
      <c r="R25" s="84"/>
      <c r="S25" s="85"/>
      <c r="U25" s="9"/>
      <c r="V25" s="9"/>
    </row>
    <row r="26" spans="1:23" ht="12.75" customHeight="1" x14ac:dyDescent="0.25">
      <c r="A26" s="50" t="s">
        <v>21</v>
      </c>
      <c r="B26" s="51"/>
      <c r="C26" s="105"/>
      <c r="D26" s="105"/>
      <c r="E26" s="105"/>
      <c r="F26" s="105"/>
      <c r="G26" s="105"/>
      <c r="H26" s="105"/>
      <c r="I26" s="106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6" t="str">
        <f t="shared" si="2"/>
        <v xml:space="preserve"> </v>
      </c>
      <c r="R26" s="86"/>
      <c r="S26" s="87"/>
    </row>
    <row r="27" spans="1:23" ht="12.75" customHeight="1" x14ac:dyDescent="0.25">
      <c r="A27" s="68" t="s">
        <v>22</v>
      </c>
      <c r="B27" s="69"/>
      <c r="C27" s="103"/>
      <c r="D27" s="103"/>
      <c r="E27" s="103"/>
      <c r="F27" s="103"/>
      <c r="G27" s="103"/>
      <c r="H27" s="103"/>
      <c r="I27" s="104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84" t="str">
        <f t="shared" si="2"/>
        <v xml:space="preserve"> </v>
      </c>
      <c r="R27" s="84"/>
      <c r="S27" s="85"/>
    </row>
    <row r="28" spans="1:23" ht="12.75" customHeight="1" x14ac:dyDescent="0.25">
      <c r="A28" s="50" t="s">
        <v>23</v>
      </c>
      <c r="B28" s="51"/>
      <c r="C28" s="105"/>
      <c r="D28" s="105"/>
      <c r="E28" s="105"/>
      <c r="F28" s="105"/>
      <c r="G28" s="105"/>
      <c r="H28" s="105"/>
      <c r="I28" s="106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6" t="str">
        <f t="shared" si="2"/>
        <v xml:space="preserve"> </v>
      </c>
      <c r="R28" s="86"/>
      <c r="S28" s="87"/>
    </row>
    <row r="29" spans="1:23" ht="12.75" customHeight="1" x14ac:dyDescent="0.25">
      <c r="A29" s="68" t="s">
        <v>24</v>
      </c>
      <c r="B29" s="69"/>
      <c r="C29" s="103"/>
      <c r="D29" s="103"/>
      <c r="E29" s="103"/>
      <c r="F29" s="103"/>
      <c r="G29" s="103"/>
      <c r="H29" s="103"/>
      <c r="I29" s="104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84" t="str">
        <f t="shared" si="2"/>
        <v xml:space="preserve"> </v>
      </c>
      <c r="R29" s="84"/>
      <c r="S29" s="85"/>
    </row>
    <row r="30" spans="1:23" ht="12.75" customHeight="1" x14ac:dyDescent="0.25">
      <c r="A30" s="50" t="s">
        <v>25</v>
      </c>
      <c r="B30" s="51"/>
      <c r="C30" s="105"/>
      <c r="D30" s="105"/>
      <c r="E30" s="105"/>
      <c r="F30" s="105"/>
      <c r="G30" s="105"/>
      <c r="H30" s="105"/>
      <c r="I30" s="106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6" t="str">
        <f t="shared" si="2"/>
        <v xml:space="preserve"> </v>
      </c>
      <c r="R30" s="86"/>
      <c r="S30" s="87"/>
    </row>
    <row r="31" spans="1:23" ht="12.75" customHeight="1" x14ac:dyDescent="0.25">
      <c r="A31" s="72" t="s">
        <v>26</v>
      </c>
      <c r="B31" s="73"/>
      <c r="C31" s="138"/>
      <c r="D31" s="138"/>
      <c r="E31" s="138"/>
      <c r="F31" s="138"/>
      <c r="G31" s="138"/>
      <c r="H31" s="138"/>
      <c r="I31" s="139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36" t="str">
        <f t="shared" si="2"/>
        <v xml:space="preserve"> </v>
      </c>
      <c r="R31" s="136"/>
      <c r="S31" s="137"/>
    </row>
    <row r="32" spans="1:23" ht="3.75" customHeight="1" thickBot="1" x14ac:dyDescent="0.3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3">
      <c r="A33" s="130" t="s">
        <v>27</v>
      </c>
      <c r="B33" s="131"/>
      <c r="C33" s="131"/>
      <c r="D33" s="131"/>
      <c r="E33" s="131"/>
      <c r="F33" s="131"/>
      <c r="G33" s="131"/>
      <c r="H33" s="131"/>
      <c r="I33" s="132"/>
      <c r="J33" s="107">
        <v>40</v>
      </c>
      <c r="K33" s="108"/>
      <c r="L33" s="109"/>
      <c r="M33" s="43"/>
      <c r="N33" s="22"/>
      <c r="O33" s="11"/>
      <c r="P33" s="11"/>
      <c r="Q33" s="23"/>
      <c r="R33" s="23"/>
      <c r="S33" s="24"/>
    </row>
    <row r="34" spans="1:19" ht="2.25" customHeight="1" x14ac:dyDescent="0.25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8" thickBot="1" x14ac:dyDescent="0.3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5">
      <c r="A36" s="110" t="s">
        <v>12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2"/>
    </row>
    <row r="37" spans="1:19" s="10" customFormat="1" ht="12" customHeight="1" x14ac:dyDescent="0.25">
      <c r="A37" s="88" t="s">
        <v>47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90"/>
    </row>
    <row r="38" spans="1:19" ht="13.5" customHeight="1" x14ac:dyDescent="0.25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3"/>
    </row>
    <row r="39" spans="1:19" ht="13.5" customHeight="1" x14ac:dyDescent="0.25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3"/>
    </row>
    <row r="40" spans="1:19" ht="13.5" customHeight="1" x14ac:dyDescent="0.25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3"/>
    </row>
    <row r="41" spans="1:19" ht="13.5" customHeight="1" x14ac:dyDescent="0.25">
      <c r="A41" s="9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3"/>
    </row>
    <row r="42" spans="1:19" ht="13.5" customHeight="1" x14ac:dyDescent="0.25">
      <c r="A42" s="91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3"/>
    </row>
    <row r="43" spans="1:19" ht="12" customHeight="1" x14ac:dyDescent="0.25">
      <c r="A43" s="91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3"/>
    </row>
    <row r="44" spans="1:19" ht="13.5" customHeight="1" x14ac:dyDescent="0.25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3"/>
    </row>
    <row r="45" spans="1:19" ht="13.5" customHeight="1" x14ac:dyDescent="0.25">
      <c r="A45" s="91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3"/>
    </row>
    <row r="46" spans="1:19" ht="13.5" customHeight="1" x14ac:dyDescent="0.25">
      <c r="A46" s="91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3"/>
    </row>
    <row r="47" spans="1:19" ht="13.5" customHeight="1" x14ac:dyDescent="0.25">
      <c r="A47" s="91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3"/>
    </row>
    <row r="48" spans="1:19" ht="13.5" customHeight="1" x14ac:dyDescent="0.25">
      <c r="A48" s="91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3"/>
    </row>
    <row r="49" spans="1:21" ht="13.5" customHeight="1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6"/>
    </row>
    <row r="50" spans="1:21" ht="12" customHeight="1" thickBot="1" x14ac:dyDescent="0.3">
      <c r="A50" s="110" t="s">
        <v>13</v>
      </c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2"/>
    </row>
    <row r="51" spans="1:21" ht="11.25" customHeight="1" x14ac:dyDescent="0.25">
      <c r="A51" s="113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5"/>
      <c r="R51" s="97" t="str">
        <f>IF(Q1=0, " ", Q1)</f>
        <v xml:space="preserve"> </v>
      </c>
      <c r="S51" s="98"/>
    </row>
    <row r="52" spans="1:21" ht="11.25" customHeight="1" x14ac:dyDescent="0.25">
      <c r="A52" s="116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8"/>
      <c r="R52" s="99"/>
      <c r="S52" s="100"/>
    </row>
    <row r="53" spans="1:21" ht="11.25" customHeight="1" thickBot="1" x14ac:dyDescent="0.3">
      <c r="A53" s="116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8"/>
      <c r="R53" s="101"/>
      <c r="S53" s="102"/>
    </row>
    <row r="54" spans="1:21" ht="11.25" customHeight="1" x14ac:dyDescent="0.25">
      <c r="A54" s="116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8"/>
      <c r="R54" s="78" t="str">
        <f>IF(Q2=0, " ", Q2)</f>
        <v xml:space="preserve"> </v>
      </c>
      <c r="S54" s="79"/>
    </row>
    <row r="55" spans="1:21" ht="11.25" customHeight="1" x14ac:dyDescent="0.25">
      <c r="A55" s="116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8"/>
      <c r="R55" s="80"/>
      <c r="S55" s="81"/>
      <c r="T55" s="10"/>
      <c r="U55" s="10"/>
    </row>
    <row r="56" spans="1:21" ht="11.25" customHeight="1" x14ac:dyDescent="0.25">
      <c r="A56" s="116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8"/>
      <c r="R56" s="80"/>
      <c r="S56" s="81"/>
    </row>
    <row r="57" spans="1:21" ht="11.25" customHeight="1" thickBot="1" x14ac:dyDescent="0.3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1"/>
      <c r="R57" s="82"/>
      <c r="S57" s="83"/>
    </row>
  </sheetData>
  <sheetProtection sheet="1" objects="1" scenarios="1"/>
  <mergeCells count="66">
    <mergeCell ref="Q21:S21"/>
    <mergeCell ref="C22:I22"/>
    <mergeCell ref="Q22:S22"/>
    <mergeCell ref="Q20:S20"/>
    <mergeCell ref="C20:I20"/>
    <mergeCell ref="A8:C8"/>
    <mergeCell ref="E8:O8"/>
    <mergeCell ref="Q7:S7"/>
    <mergeCell ref="Q8:S8"/>
    <mergeCell ref="A9:C9"/>
    <mergeCell ref="E9:O9"/>
    <mergeCell ref="D1:E1"/>
    <mergeCell ref="D2:E2"/>
    <mergeCell ref="A4:C4"/>
    <mergeCell ref="G1:O1"/>
    <mergeCell ref="G2:O2"/>
    <mergeCell ref="D4:O6"/>
    <mergeCell ref="C19:I19"/>
    <mergeCell ref="Q16:S16"/>
    <mergeCell ref="C16:I16"/>
    <mergeCell ref="C12:I12"/>
    <mergeCell ref="C13:I13"/>
    <mergeCell ref="C18:I18"/>
    <mergeCell ref="C17:I17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cooks</dc:creator>
  <cp:lastModifiedBy>Cooks</cp:lastModifiedBy>
  <cp:lastPrinted>2020-02-25T18:40:02Z</cp:lastPrinted>
  <dcterms:created xsi:type="dcterms:W3CDTF">2000-10-24T15:57:25Z</dcterms:created>
  <dcterms:modified xsi:type="dcterms:W3CDTF">2020-02-25T18:43:22Z</dcterms:modified>
</cp:coreProperties>
</file>