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0" yWindow="60" windowWidth="12120" windowHeight="8880"/>
  </bookViews>
  <sheets>
    <sheet name="recipe form" sheetId="1" r:id="rId1"/>
    <sheet name="additional instructions" sheetId="4" r:id="rId2"/>
    <sheet name="additional comments" sheetId="3" r:id="rId3"/>
    <sheet name="end recipe" sheetId="5" r:id="rId4"/>
  </sheets>
  <definedNames>
    <definedName name="_xlnm._FilterDatabase" localSheetId="0" hidden="1">'recipe form'!$N$11:$S$13</definedName>
    <definedName name="_xlnm.Print_Area" localSheetId="0">'recipe form'!$A$1:$S$61</definedName>
  </definedNames>
  <calcPr calcId="144525"/>
</workbook>
</file>

<file path=xl/calcChain.xml><?xml version="1.0" encoding="utf-8"?>
<calcChain xmlns="http://schemas.openxmlformats.org/spreadsheetml/2006/main">
  <c r="E1" i="3" l="1"/>
  <c r="J1" i="3"/>
  <c r="K1" i="3"/>
  <c r="A3" i="3"/>
  <c r="A4" i="3"/>
  <c r="A5" i="3"/>
  <c r="A6" i="3"/>
  <c r="A7" i="3"/>
  <c r="A8" i="3"/>
  <c r="A9" i="3"/>
  <c r="A10" i="3"/>
  <c r="A11" i="3"/>
  <c r="E1" i="4"/>
  <c r="J1" i="4"/>
  <c r="K1" i="4"/>
  <c r="A4" i="4"/>
  <c r="A5" i="4"/>
  <c r="A6" i="4"/>
  <c r="A7" i="4"/>
  <c r="A8" i="4"/>
  <c r="A9" i="4"/>
  <c r="A10" i="4"/>
  <c r="A11" i="4"/>
  <c r="A12" i="4"/>
  <c r="A13" i="4"/>
  <c r="G1" i="5"/>
  <c r="Q1" i="5"/>
  <c r="G2" i="5"/>
  <c r="Q2" i="5"/>
  <c r="E4" i="5"/>
  <c r="A5" i="5"/>
  <c r="A6" i="5"/>
  <c r="E8" i="5"/>
  <c r="A9" i="5"/>
  <c r="Q11" i="5"/>
  <c r="C13" i="5"/>
  <c r="J13" i="5"/>
  <c r="L13" i="5"/>
  <c r="O13" i="5"/>
  <c r="Q13" i="5"/>
  <c r="C14" i="5"/>
  <c r="J14" i="5"/>
  <c r="L14" i="5"/>
  <c r="O14" i="5"/>
  <c r="Q14" i="5"/>
  <c r="C15" i="5"/>
  <c r="J15" i="5"/>
  <c r="L15" i="5"/>
  <c r="O15" i="5"/>
  <c r="Q15" i="5"/>
  <c r="C16" i="5"/>
  <c r="J16" i="5"/>
  <c r="L16" i="5"/>
  <c r="O16" i="5"/>
  <c r="Q16" i="5"/>
  <c r="C17" i="5"/>
  <c r="J17" i="5"/>
  <c r="L17" i="5"/>
  <c r="O17" i="5"/>
  <c r="Q17" i="5"/>
  <c r="C18" i="5"/>
  <c r="J18" i="5"/>
  <c r="L18" i="5"/>
  <c r="O18" i="5"/>
  <c r="Q18" i="5"/>
  <c r="C19" i="5"/>
  <c r="J19" i="5"/>
  <c r="L19" i="5"/>
  <c r="O19" i="5"/>
  <c r="Q19" i="5"/>
  <c r="C20" i="5"/>
  <c r="J20" i="5"/>
  <c r="L20" i="5"/>
  <c r="O20" i="5"/>
  <c r="Q20" i="5"/>
  <c r="C21" i="5"/>
  <c r="J21" i="5"/>
  <c r="L21" i="5"/>
  <c r="O21" i="5"/>
  <c r="Q21" i="5"/>
  <c r="C22" i="5"/>
  <c r="J22" i="5"/>
  <c r="L22" i="5"/>
  <c r="O22" i="5"/>
  <c r="Q22" i="5"/>
  <c r="C23" i="5"/>
  <c r="J23" i="5"/>
  <c r="L23" i="5"/>
  <c r="O23" i="5"/>
  <c r="Q23" i="5"/>
  <c r="C24" i="5"/>
  <c r="J24" i="5"/>
  <c r="L24" i="5"/>
  <c r="O24" i="5"/>
  <c r="Q24" i="5"/>
  <c r="C25" i="5"/>
  <c r="J25" i="5"/>
  <c r="L25" i="5"/>
  <c r="O25" i="5"/>
  <c r="Q25" i="5"/>
  <c r="C26" i="5"/>
  <c r="J26" i="5"/>
  <c r="L26" i="5"/>
  <c r="O26" i="5"/>
  <c r="Q26" i="5"/>
  <c r="C27" i="5"/>
  <c r="J27" i="5"/>
  <c r="L27" i="5"/>
  <c r="O27" i="5"/>
  <c r="Q27" i="5"/>
  <c r="C28" i="5"/>
  <c r="J28" i="5"/>
  <c r="L28" i="5"/>
  <c r="O28" i="5"/>
  <c r="Q28" i="5"/>
  <c r="C29" i="5"/>
  <c r="J29" i="5"/>
  <c r="L29" i="5"/>
  <c r="O29" i="5"/>
  <c r="Q29" i="5"/>
  <c r="C30" i="5"/>
  <c r="J30" i="5"/>
  <c r="L30" i="5"/>
  <c r="O30" i="5"/>
  <c r="Q30" i="5"/>
  <c r="C31" i="5"/>
  <c r="J31" i="5"/>
  <c r="L31" i="5"/>
  <c r="O31" i="5"/>
  <c r="Q31" i="5"/>
  <c r="C32" i="5"/>
  <c r="J32" i="5"/>
  <c r="L32" i="5"/>
  <c r="O32" i="5"/>
  <c r="Q32" i="5"/>
  <c r="L34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7" i="5"/>
  <c r="A58" i="5"/>
  <c r="A59" i="5"/>
  <c r="A60" i="5"/>
  <c r="A61" i="5"/>
  <c r="A62" i="5"/>
  <c r="A63" i="5"/>
  <c r="A64" i="5"/>
  <c r="A65" i="5"/>
  <c r="A66" i="5"/>
  <c r="A67" i="5"/>
  <c r="N12" i="1"/>
  <c r="O12" i="1"/>
  <c r="Q12" i="1"/>
  <c r="N13" i="1"/>
  <c r="O13" i="1"/>
  <c r="Q13" i="1"/>
  <c r="N14" i="1"/>
  <c r="O14" i="1"/>
  <c r="Q14" i="1"/>
  <c r="N15" i="1"/>
  <c r="O15" i="1"/>
  <c r="Q15" i="1"/>
  <c r="N16" i="1"/>
  <c r="O16" i="1"/>
  <c r="Q16" i="1"/>
  <c r="N17" i="1"/>
  <c r="O17" i="1"/>
  <c r="Q17" i="1"/>
  <c r="N18" i="1"/>
  <c r="O18" i="1"/>
  <c r="Q18" i="1"/>
  <c r="N19" i="1"/>
  <c r="O19" i="1"/>
  <c r="Q19" i="1"/>
  <c r="N20" i="1"/>
  <c r="O20" i="1"/>
  <c r="Q20" i="1"/>
  <c r="N21" i="1"/>
  <c r="O21" i="1"/>
  <c r="Q21" i="1"/>
  <c r="N22" i="1"/>
  <c r="O22" i="1"/>
  <c r="Q22" i="1"/>
  <c r="N23" i="1"/>
  <c r="O23" i="1"/>
  <c r="Q23" i="1"/>
  <c r="N24" i="1"/>
  <c r="O24" i="1"/>
  <c r="Q24" i="1"/>
  <c r="N25" i="1"/>
  <c r="O25" i="1"/>
  <c r="Q25" i="1"/>
  <c r="N26" i="1"/>
  <c r="O26" i="1"/>
  <c r="Q26" i="1"/>
  <c r="N27" i="1"/>
  <c r="O27" i="1"/>
  <c r="Q27" i="1"/>
  <c r="N28" i="1"/>
  <c r="O28" i="1"/>
  <c r="Q28" i="1"/>
  <c r="N29" i="1"/>
  <c r="O29" i="1"/>
  <c r="Q29" i="1"/>
  <c r="N30" i="1"/>
  <c r="O30" i="1"/>
  <c r="Q30" i="1"/>
  <c r="N31" i="1"/>
  <c r="O31" i="1"/>
  <c r="Q31" i="1"/>
  <c r="R54" i="1"/>
  <c r="R57" i="1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4" authorId="0">
      <text>
        <r>
          <rPr>
            <sz val="10"/>
            <color indexed="81"/>
            <rFont val="Tahoma"/>
            <family val="2"/>
          </rPr>
          <t>Enter a brief desciption of this recipe (cultural significance, origins, etc…)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comments2.xml><?xml version="1.0" encoding="utf-8"?>
<comments xmlns="http://schemas.openxmlformats.org/spreadsheetml/2006/main">
  <authors>
    <author>dyson</author>
  </authors>
  <commentList>
    <comment ref="A3" authorId="0">
      <text>
        <r>
          <rPr>
            <sz val="10"/>
            <color indexed="81"/>
            <rFont val="Tahoma"/>
            <family val="2"/>
          </rPr>
          <t xml:space="preserve">This box is  from the </t>
        </r>
        <r>
          <rPr>
            <b/>
            <sz val="10"/>
            <color indexed="81"/>
            <rFont val="Tahoma"/>
            <family val="2"/>
          </rPr>
          <t>recipe form</t>
        </r>
        <r>
          <rPr>
            <sz val="10"/>
            <color indexed="81"/>
            <rFont val="Tahoma"/>
            <family val="2"/>
          </rPr>
          <t>.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enter your additional instructions in this space.  Initial and date your instructions if you like.</t>
        </r>
      </text>
    </comment>
  </commentList>
</comments>
</file>

<file path=xl/comments3.xml><?xml version="1.0" encoding="utf-8"?>
<comments xmlns="http://schemas.openxmlformats.org/spreadsheetml/2006/main">
  <authors>
    <author>dyson</author>
  </authors>
  <commentList>
    <comment ref="A3" authorId="0">
      <text>
        <r>
          <rPr>
            <sz val="10"/>
            <color indexed="81"/>
            <rFont val="Tahoma"/>
            <family val="2"/>
          </rPr>
          <t xml:space="preserve">This box is  from the </t>
        </r>
        <r>
          <rPr>
            <b/>
            <sz val="10"/>
            <color indexed="81"/>
            <rFont val="Tahoma"/>
            <family val="2"/>
          </rPr>
          <t>recipe form</t>
        </r>
        <r>
          <rPr>
            <sz val="10"/>
            <color indexed="81"/>
            <rFont val="Tahoma"/>
            <family val="2"/>
          </rPr>
          <t>.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enter your additional comments in this space.  Initial and date your comments if you like.</t>
        </r>
      </text>
    </comment>
  </commentList>
</comments>
</file>

<file path=xl/comments4.xml><?xml version="1.0" encoding="utf-8"?>
<comments xmlns="http://schemas.openxmlformats.org/spreadsheetml/2006/main">
  <authors>
    <author>Tech Prime</author>
    <author>dyson</author>
  </authors>
  <commentList>
    <comment ref="E4" authorId="0">
      <text>
        <r>
          <rPr>
            <sz val="10"/>
            <color indexed="81"/>
            <rFont val="Tahoma"/>
            <family val="2"/>
          </rPr>
          <t>Enter a brief desciption of this recipe (cultural significance, origins, etc…)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A37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6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<sst xmlns="http://schemas.openxmlformats.org/spreadsheetml/2006/main" count="93" uniqueCount="60">
  <si>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</si>
  <si>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</si>
  <si>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</si>
  <si>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</si>
  <si>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</si>
  <si>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</si>
  <si>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</si>
  <si>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</si>
  <si>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</si>
  <si>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</si>
  <si>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quantity</t>
  </si>
  <si>
    <t>unit</t>
  </si>
  <si>
    <t>cooking instructions:</t>
  </si>
  <si>
    <t>comments:</t>
  </si>
  <si>
    <t>50 servings</t>
  </si>
  <si>
    <t>servings</t>
  </si>
  <si>
    <t>75 servings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</si>
  <si>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</si>
  <si>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</si>
  <si>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</si>
  <si>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</si>
  <si>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</si>
  <si>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</si>
  <si>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</si>
  <si>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</si>
  <si>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</si>
  <si>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</si>
  <si>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As it appears above, recipe yields how many servings?</t>
  </si>
  <si>
    <t>ingredients:</t>
  </si>
  <si>
    <r>
      <t xml:space="preserve">continued on </t>
    </r>
    <r>
      <rPr>
        <b/>
        <sz val="8"/>
        <rFont val="Tahoma"/>
        <family val="2"/>
      </rPr>
      <t xml:space="preserve">additional instructions </t>
    </r>
    <r>
      <rPr>
        <sz val="8"/>
        <rFont val="Tahoma"/>
        <family val="2"/>
      </rPr>
      <t>page…</t>
    </r>
  </si>
  <si>
    <r>
      <t xml:space="preserve">continued on </t>
    </r>
    <r>
      <rPr>
        <b/>
        <sz val="8"/>
        <rFont val="Tahoma"/>
        <family val="2"/>
      </rPr>
      <t>additional comments</t>
    </r>
    <r>
      <rPr>
        <sz val="8"/>
        <rFont val="Tahoma"/>
        <family val="2"/>
      </rPr>
      <t xml:space="preserve"> page…</t>
    </r>
  </si>
  <si>
    <r>
      <t xml:space="preserve">additional cooking </t>
    </r>
    <r>
      <rPr>
        <i/>
        <sz val="10"/>
        <rFont val="Tahoma"/>
        <family val="2"/>
      </rPr>
      <t>comments</t>
    </r>
    <r>
      <rPr>
        <sz val="10"/>
        <rFont val="Tahoma"/>
        <family val="2"/>
      </rPr>
      <t xml:space="preserve">  for</t>
    </r>
  </si>
  <si>
    <r>
      <t xml:space="preserve">additional cooking </t>
    </r>
    <r>
      <rPr>
        <i/>
        <sz val="10"/>
        <rFont val="Tahoma"/>
        <family val="2"/>
      </rPr>
      <t>instructions</t>
    </r>
    <r>
      <rPr>
        <sz val="10"/>
        <rFont val="Tahoma"/>
        <family val="2"/>
      </rPr>
      <t xml:space="preserve"> for</t>
    </r>
  </si>
  <si>
    <r>
      <t xml:space="preserve">please enter additional </t>
    </r>
    <r>
      <rPr>
        <i/>
        <sz val="10"/>
        <rFont val="Tahoma"/>
        <family val="2"/>
      </rPr>
      <t>instructions</t>
    </r>
    <r>
      <rPr>
        <sz val="10"/>
        <rFont val="Tahoma"/>
        <family val="2"/>
      </rPr>
      <t xml:space="preserve"> below:</t>
    </r>
  </si>
  <si>
    <r>
      <t xml:space="preserve">please enter additional </t>
    </r>
    <r>
      <rPr>
        <i/>
        <sz val="10"/>
        <rFont val="Tahoma"/>
        <family val="2"/>
      </rPr>
      <t>comments</t>
    </r>
    <r>
      <rPr>
        <sz val="10"/>
        <rFont val="Tahoma"/>
        <family val="2"/>
      </rPr>
      <t xml:space="preserve"> below:</t>
    </r>
  </si>
  <si>
    <t>intro:</t>
  </si>
  <si>
    <t>vil / recipe code</t>
  </si>
  <si>
    <t>source:</t>
  </si>
  <si>
    <t>calculator</t>
  </si>
  <si>
    <t>Recipe yield:</t>
  </si>
  <si>
    <t>from calculator, for</t>
  </si>
  <si>
    <t>people.</t>
  </si>
  <si>
    <t>Beef Stroganoff</t>
  </si>
  <si>
    <t>school</t>
  </si>
  <si>
    <t>B5</t>
  </si>
  <si>
    <t>#</t>
  </si>
  <si>
    <t>beef eye of round, cubed</t>
  </si>
  <si>
    <t>mushrooms, sliced</t>
  </si>
  <si>
    <t>onion, diced</t>
  </si>
  <si>
    <t>tomato puree</t>
  </si>
  <si>
    <t>beef base</t>
  </si>
  <si>
    <t>water</t>
  </si>
  <si>
    <t>g</t>
  </si>
  <si>
    <t>sour cream</t>
  </si>
  <si>
    <t>salt, pepper</t>
  </si>
  <si>
    <t>garlic</t>
  </si>
  <si>
    <t>c</t>
  </si>
  <si>
    <t>Saute beef in a bit of oil till browned.  Add mushrooms &amp; onions &amp; cook till very soft.  Add remaining ingredients &amp; simmer till</t>
  </si>
  <si>
    <t>meat is tender, at least 2 hours.  Taste &amp; adjust seasonings. Serve over rice, noodles or potatoes.</t>
  </si>
  <si>
    <t>Serving size is 3/4 c. for 2 oz protein + 1/4 c. cooked vegetable.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</si>
</sst>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"/>
  </numFmts>
  <fonts count="20" x14ac:knownFonts="1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i/>
      <vertAlign val="subscript"/>
      <sz val="8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8"/>
      <name val="Tahoma"/>
      <family val="2"/>
    </font>
    <font>
      <b/>
      <sz val="18"/>
      <name val="Tahoma"/>
      <family val="2"/>
    </font>
    <font>
      <sz val="12"/>
      <name val="Tahoma"/>
      <family val="2"/>
    </font>
    <font>
      <i/>
      <vertAlign val="superscript"/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thin">
        <color indexed="64"/>
      </top>
      <bottom style="hair">
        <color indexed="22"/>
      </bottom>
      <diagonal/>
    </border>
    <border>
      <left/>
      <right style="thin">
        <color indexed="64"/>
      </right>
      <top style="thin">
        <color indexed="64"/>
      </top>
      <bottom style="hair">
        <color indexed="22"/>
      </bottom>
      <diagonal/>
    </border>
    <border>
      <left/>
      <right style="thin">
        <color indexed="64"/>
      </right>
      <top/>
      <bottom style="hair">
        <color indexed="2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/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/>
      <diagonal/>
    </border>
    <border>
      <left/>
      <right/>
      <top style="hair">
        <color indexed="22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/>
      <right style="medium">
        <color indexed="64"/>
      </right>
      <top/>
      <bottom style="hair">
        <color indexed="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5" fillId="0" borderId="0" xfId="0" applyFont="1" applyBorder="1" applyAlignment="1"/>
    <xf numFmtId="0" fontId="6" fillId="0" borderId="0" xfId="0" applyFont="1" applyAlignment="1"/>
    <xf numFmtId="0" fontId="6" fillId="0" borderId="0" xfId="0" applyFont="1"/>
    <xf numFmtId="0" fontId="5" fillId="0" borderId="0" xfId="0" applyFont="1" applyBorder="1" applyAlignment="1">
      <alignment horizontal="left" vertical="center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5" fillId="0" borderId="5" xfId="0" applyFont="1" applyBorder="1" applyAlignment="1" applyProtection="1">
      <alignment horizontal="right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5" fillId="2" borderId="7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8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9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5" fillId="0" borderId="0" xfId="0" applyFont="1" applyFill="1" applyAlignment="1">
      <alignment horizontal="left"/>
    </xf>
    <xf numFmtId="0" fontId="5" fillId="0" borderId="0" xfId="0" applyFont="1" applyAlignment="1">
      <alignment horizontal="left" vertical="center" indent="2"/>
    </xf>
    <xf numFmtId="0" fontId="11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12" fillId="2" borderId="9" xfId="0" applyFont="1" applyFill="1" applyBorder="1" applyAlignment="1">
      <alignment horizontal="left" vertic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2" fontId="5" fillId="0" borderId="10" xfId="0" applyNumberFormat="1" applyFont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right" vertical="center"/>
    </xf>
    <xf numFmtId="0" fontId="6" fillId="0" borderId="12" xfId="0" applyFont="1" applyBorder="1" applyAlignment="1" applyProtection="1">
      <alignment horizontal="left" vertical="center"/>
    </xf>
    <xf numFmtId="0" fontId="12" fillId="0" borderId="7" xfId="0" applyFont="1" applyBorder="1" applyAlignment="1" applyProtection="1">
      <alignment horizontal="center" vertical="center"/>
      <protection locked="0"/>
    </xf>
    <xf numFmtId="0" fontId="12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9" fillId="0" borderId="6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2" fontId="5" fillId="0" borderId="13" xfId="0" applyNumberFormat="1" applyFont="1" applyBorder="1" applyAlignment="1" applyProtection="1">
      <alignment horizontal="center" vertical="center"/>
    </xf>
    <xf numFmtId="2" fontId="5" fillId="0" borderId="14" xfId="0" applyNumberFormat="1" applyFont="1" applyBorder="1" applyAlignment="1" applyProtection="1">
      <alignment horizontal="center" vertical="center"/>
    </xf>
    <xf numFmtId="0" fontId="5" fillId="0" borderId="15" xfId="0" applyFont="1" applyBorder="1" applyAlignment="1" applyProtection="1">
      <alignment horizontal="right" vertical="center" shrinkToFit="1"/>
    </xf>
    <xf numFmtId="0" fontId="5" fillId="0" borderId="16" xfId="0" applyFont="1" applyBorder="1" applyAlignment="1" applyProtection="1">
      <alignment horizontal="lef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7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5" fillId="0" borderId="17" xfId="0" applyFont="1" applyBorder="1" applyAlignment="1" applyProtection="1">
      <alignment horizontal="right" vertical="center" shrinkToFit="1"/>
    </xf>
    <xf numFmtId="0" fontId="5" fillId="0" borderId="18" xfId="0" applyFont="1" applyBorder="1" applyAlignment="1" applyProtection="1">
      <alignment horizontal="left" vertical="center"/>
    </xf>
    <xf numFmtId="0" fontId="5" fillId="0" borderId="19" xfId="0" applyFont="1" applyBorder="1" applyAlignment="1" applyProtection="1">
      <alignment horizontal="right" vertical="center" shrinkToFit="1"/>
    </xf>
    <xf numFmtId="0" fontId="5" fillId="0" borderId="20" xfId="0" applyFont="1" applyBorder="1" applyAlignment="1" applyProtection="1">
      <alignment horizontal="left" vertical="center"/>
    </xf>
    <xf numFmtId="0" fontId="6" fillId="0" borderId="21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22" xfId="0" applyFont="1" applyBorder="1" applyAlignment="1" applyProtection="1">
      <alignment horizontal="left" vertical="center" shrinkToFit="1"/>
    </xf>
    <xf numFmtId="0" fontId="6" fillId="2" borderId="4" xfId="0" applyFont="1" applyFill="1" applyBorder="1" applyAlignment="1" applyProtection="1">
      <alignment horizontal="center" vertical="center"/>
    </xf>
    <xf numFmtId="0" fontId="6" fillId="2" borderId="7" xfId="0" applyFont="1" applyFill="1" applyBorder="1" applyAlignment="1" applyProtection="1">
      <alignment horizontal="center" vertical="center"/>
    </xf>
    <xf numFmtId="0" fontId="5" fillId="0" borderId="0" xfId="0" applyFont="1" applyBorder="1" applyAlignment="1" applyProtection="1">
      <alignment horizontal="right" vertical="center" shrinkToFit="1"/>
    </xf>
    <xf numFmtId="0" fontId="5" fillId="0" borderId="0" xfId="0" applyFont="1" applyBorder="1" applyAlignment="1" applyProtection="1">
      <alignment horizontal="left" vertical="center"/>
    </xf>
    <xf numFmtId="0" fontId="6" fillId="2" borderId="23" xfId="0" applyFont="1" applyFill="1" applyBorder="1" applyAlignment="1" applyProtection="1">
      <alignment horizontal="center" vertical="center"/>
    </xf>
    <xf numFmtId="0" fontId="6" fillId="0" borderId="24" xfId="0" applyFont="1" applyFill="1" applyBorder="1" applyAlignment="1" applyProtection="1">
      <alignment horizontal="left" vertical="center"/>
    </xf>
    <xf numFmtId="0" fontId="6" fillId="0" borderId="25" xfId="0" applyFont="1" applyFill="1" applyBorder="1" applyAlignment="1" applyProtection="1">
      <alignment horizontal="left" vertical="center"/>
    </xf>
    <xf numFmtId="0" fontId="6" fillId="0" borderId="26" xfId="0" applyFont="1" applyFill="1" applyBorder="1" applyAlignment="1" applyProtection="1">
      <alignment horizontal="left" vertical="center"/>
    </xf>
    <xf numFmtId="0" fontId="6" fillId="0" borderId="25" xfId="0" applyFont="1" applyFill="1" applyBorder="1" applyAlignment="1" applyProtection="1">
      <alignment horizontal="center" vertical="center"/>
    </xf>
    <xf numFmtId="0" fontId="6" fillId="0" borderId="26" xfId="0" applyFont="1" applyFill="1" applyBorder="1" applyAlignment="1" applyProtection="1">
      <alignment horizontal="center" vertical="center"/>
    </xf>
    <xf numFmtId="0" fontId="6" fillId="0" borderId="3" xfId="0" applyFont="1" applyFill="1" applyBorder="1" applyAlignment="1" applyProtection="1">
      <alignment horizontal="center" vertical="center"/>
    </xf>
    <xf numFmtId="0" fontId="6" fillId="0" borderId="21" xfId="0" applyFont="1" applyBorder="1" applyAlignment="1" applyProtection="1">
      <alignment horizontal="left" vertical="center" shrinkToFit="1"/>
    </xf>
    <xf numFmtId="0" fontId="2" fillId="0" borderId="0" xfId="0" applyFont="1" applyAlignment="1" applyProtection="1">
      <alignment horizontal="right"/>
    </xf>
    <xf numFmtId="0" fontId="5" fillId="0" borderId="0" xfId="0" applyFont="1" applyProtection="1"/>
    <xf numFmtId="0" fontId="2" fillId="0" borderId="0" xfId="0" applyFont="1" applyFill="1" applyBorder="1" applyAlignment="1" applyProtection="1">
      <alignment horizontal="right"/>
    </xf>
    <xf numFmtId="0" fontId="5" fillId="0" borderId="0" xfId="0" applyFont="1" applyBorder="1" applyProtection="1"/>
    <xf numFmtId="0" fontId="1" fillId="0" borderId="0" xfId="0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/>
    </xf>
    <xf numFmtId="0" fontId="5" fillId="0" borderId="0" xfId="0" applyFont="1" applyBorder="1" applyAlignment="1" applyProtection="1">
      <alignment horizontal="left"/>
    </xf>
    <xf numFmtId="0" fontId="5" fillId="2" borderId="1" xfId="0" applyFont="1" applyFill="1" applyBorder="1" applyProtection="1"/>
    <xf numFmtId="0" fontId="5" fillId="2" borderId="1" xfId="0" applyFont="1" applyFill="1" applyBorder="1" applyAlignment="1" applyProtection="1">
      <alignment horizontal="center"/>
    </xf>
    <xf numFmtId="0" fontId="5" fillId="0" borderId="15" xfId="0" applyFont="1" applyFill="1" applyBorder="1" applyAlignment="1" applyProtection="1">
      <alignment horizontal="right"/>
    </xf>
    <xf numFmtId="0" fontId="5" fillId="0" borderId="16" xfId="0" applyFont="1" applyFill="1" applyBorder="1" applyAlignment="1" applyProtection="1">
      <alignment horizontal="right"/>
    </xf>
    <xf numFmtId="0" fontId="5" fillId="0" borderId="0" xfId="0" applyFont="1" applyFill="1" applyBorder="1" applyAlignment="1" applyProtection="1">
      <alignment horizontal="center"/>
    </xf>
    <xf numFmtId="0" fontId="5" fillId="0" borderId="16" xfId="0" applyFont="1" applyFill="1" applyBorder="1" applyAlignment="1" applyProtection="1">
      <alignment horizontal="center"/>
    </xf>
    <xf numFmtId="0" fontId="5" fillId="0" borderId="16" xfId="0" applyFont="1" applyFill="1" applyBorder="1" applyProtection="1"/>
    <xf numFmtId="0" fontId="5" fillId="0" borderId="27" xfId="0" applyFont="1" applyFill="1" applyBorder="1" applyAlignment="1" applyProtection="1">
      <alignment horizontal="center"/>
    </xf>
    <xf numFmtId="0" fontId="6" fillId="0" borderId="28" xfId="0" applyFont="1" applyBorder="1" applyAlignment="1" applyProtection="1">
      <alignment horizontal="center" vertical="center"/>
    </xf>
    <xf numFmtId="0" fontId="16" fillId="0" borderId="7" xfId="0" applyFont="1" applyBorder="1" applyAlignment="1" applyProtection="1">
      <alignment horizontal="center" vertical="center"/>
    </xf>
    <xf numFmtId="0" fontId="6" fillId="0" borderId="15" xfId="0" applyFont="1" applyBorder="1" applyProtection="1"/>
    <xf numFmtId="4" fontId="6" fillId="0" borderId="16" xfId="0" applyNumberFormat="1" applyFont="1" applyBorder="1" applyAlignment="1" applyProtection="1">
      <alignment horizontal="center"/>
    </xf>
    <xf numFmtId="0" fontId="16" fillId="0" borderId="16" xfId="0" applyFont="1" applyBorder="1" applyAlignment="1" applyProtection="1">
      <alignment horizontal="center"/>
    </xf>
    <xf numFmtId="0" fontId="6" fillId="0" borderId="16" xfId="0" applyFont="1" applyBorder="1" applyProtection="1"/>
    <xf numFmtId="0" fontId="6" fillId="0" borderId="27" xfId="0" applyFont="1" applyBorder="1" applyProtection="1"/>
    <xf numFmtId="0" fontId="6" fillId="0" borderId="9" xfId="0" applyFont="1" applyBorder="1" applyAlignment="1" applyProtection="1">
      <alignment horizontal="center" vertical="center"/>
    </xf>
    <xf numFmtId="0" fontId="6" fillId="0" borderId="17" xfId="0" applyFont="1" applyBorder="1" applyProtection="1"/>
    <xf numFmtId="4" fontId="6" fillId="0" borderId="18" xfId="0" applyNumberFormat="1" applyFont="1" applyBorder="1" applyAlignment="1" applyProtection="1">
      <alignment horizontal="center"/>
    </xf>
    <xf numFmtId="0" fontId="16" fillId="0" borderId="18" xfId="0" applyFont="1" applyBorder="1" applyAlignment="1" applyProtection="1">
      <alignment horizontal="center"/>
    </xf>
    <xf numFmtId="0" fontId="6" fillId="0" borderId="18" xfId="0" applyFont="1" applyBorder="1" applyProtection="1"/>
    <xf numFmtId="0" fontId="6" fillId="0" borderId="29" xfId="0" applyFont="1" applyBorder="1" applyProtection="1"/>
    <xf numFmtId="0" fontId="6" fillId="0" borderId="19" xfId="0" applyFont="1" applyBorder="1" applyProtection="1"/>
    <xf numFmtId="4" fontId="6" fillId="0" borderId="20" xfId="0" applyNumberFormat="1" applyFont="1" applyBorder="1" applyAlignment="1" applyProtection="1">
      <alignment horizontal="center"/>
    </xf>
    <xf numFmtId="0" fontId="16" fillId="0" borderId="20" xfId="0" applyFont="1" applyBorder="1" applyAlignment="1" applyProtection="1">
      <alignment horizontal="center"/>
    </xf>
    <xf numFmtId="0" fontId="6" fillId="0" borderId="20" xfId="0" applyFont="1" applyBorder="1" applyProtection="1"/>
    <xf numFmtId="0" fontId="6" fillId="0" borderId="30" xfId="0" applyFont="1" applyBorder="1" applyProtection="1"/>
    <xf numFmtId="0" fontId="6" fillId="0" borderId="0" xfId="0" applyFont="1" applyBorder="1" applyAlignment="1" applyProtection="1">
      <alignment horizontal="center" vertical="center"/>
    </xf>
    <xf numFmtId="0" fontId="16" fillId="0" borderId="0" xfId="0" applyFont="1" applyBorder="1" applyAlignment="1" applyProtection="1">
      <alignment horizontal="center" vertical="center"/>
    </xf>
    <xf numFmtId="0" fontId="5" fillId="0" borderId="0" xfId="0" applyFont="1" applyAlignment="1" applyProtection="1">
      <alignment horizontal="right"/>
    </xf>
    <xf numFmtId="0" fontId="5" fillId="0" borderId="0" xfId="0" applyFont="1" applyBorder="1" applyAlignment="1" applyProtection="1">
      <alignment vertical="center"/>
    </xf>
    <xf numFmtId="0" fontId="5" fillId="0" borderId="31" xfId="0" applyFont="1" applyBorder="1" applyAlignment="1" applyProtection="1">
      <alignment horizontal="center" vertical="center" shrinkToFit="1"/>
    </xf>
    <xf numFmtId="0" fontId="6" fillId="0" borderId="0" xfId="0" applyFont="1" applyProtection="1"/>
    <xf numFmtId="2" fontId="5" fillId="0" borderId="9" xfId="0" applyNumberFormat="1" applyFont="1" applyBorder="1" applyAlignment="1" applyProtection="1">
      <alignment horizontal="center" vertical="center"/>
      <protection locked="0"/>
    </xf>
    <xf numFmtId="0" fontId="5" fillId="0" borderId="42" xfId="0" applyFont="1" applyBorder="1" applyAlignment="1" applyProtection="1">
      <alignment horizontal="left" vertical="center" shrinkToFit="1"/>
      <protection locked="0"/>
    </xf>
    <xf numFmtId="0" fontId="5" fillId="0" borderId="18" xfId="0" applyFont="1" applyBorder="1" applyAlignment="1" applyProtection="1">
      <alignment horizontal="left" vertical="center" shrinkToFit="1"/>
      <protection locked="0"/>
    </xf>
    <xf numFmtId="0" fontId="5" fillId="0" borderId="32" xfId="0" applyFont="1" applyBorder="1" applyAlignment="1" applyProtection="1">
      <alignment horizontal="left" vertical="center" shrinkToFit="1"/>
      <protection locked="0"/>
    </xf>
    <xf numFmtId="0" fontId="5" fillId="0" borderId="46" xfId="0" applyFont="1" applyBorder="1" applyAlignment="1" applyProtection="1">
      <alignment horizontal="left" vertical="center" shrinkToFit="1"/>
      <protection locked="0"/>
    </xf>
    <xf numFmtId="0" fontId="5" fillId="0" borderId="47" xfId="0" applyFont="1" applyBorder="1" applyAlignment="1" applyProtection="1">
      <alignment horizontal="left" vertical="center" shrinkToFit="1"/>
      <protection locked="0"/>
    </xf>
    <xf numFmtId="0" fontId="5" fillId="0" borderId="54" xfId="0" applyFont="1" applyBorder="1" applyAlignment="1" applyProtection="1">
      <alignment horizontal="left" vertical="center" shrinkToFit="1"/>
      <protection locked="0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5" fillId="0" borderId="55" xfId="0" applyFont="1" applyBorder="1" applyAlignment="1" applyProtection="1">
      <alignment horizontal="left" vertical="center" shrinkToFit="1"/>
      <protection locked="0"/>
    </xf>
    <xf numFmtId="0" fontId="12" fillId="0" borderId="56" xfId="0" applyFont="1" applyFill="1" applyBorder="1" applyAlignment="1" applyProtection="1">
      <alignment horizontal="left" vertical="center"/>
    </xf>
    <xf numFmtId="0" fontId="12" fillId="0" borderId="21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42" xfId="0" applyFont="1" applyBorder="1" applyAlignment="1" applyProtection="1">
      <alignment horizontal="left" shrinkToFit="1"/>
      <protection locked="0"/>
    </xf>
    <xf numFmtId="0" fontId="6" fillId="0" borderId="18" xfId="0" applyFont="1" applyBorder="1" applyAlignment="1" applyProtection="1">
      <alignment horizontal="left" shrinkToFit="1"/>
      <protection locked="0"/>
    </xf>
    <xf numFmtId="0" fontId="6" fillId="0" borderId="32" xfId="0" applyFont="1" applyBorder="1" applyAlignment="1" applyProtection="1">
      <alignment horizontal="left" shrinkToFit="1"/>
      <protection locked="0"/>
    </xf>
    <xf numFmtId="0" fontId="6" fillId="2" borderId="8" xfId="0" applyFont="1" applyFill="1" applyBorder="1" applyAlignment="1" applyProtection="1">
      <alignment horizontal="right" shrinkToFit="1"/>
    </xf>
    <xf numFmtId="0" fontId="6" fillId="2" borderId="1" xfId="0" applyFont="1" applyFill="1" applyBorder="1" applyAlignment="1" applyProtection="1">
      <alignment horizontal="right" shrinkToFit="1"/>
    </xf>
    <xf numFmtId="0" fontId="6" fillId="2" borderId="53" xfId="0" applyFont="1" applyFill="1" applyBorder="1" applyAlignment="1" applyProtection="1">
      <alignment horizontal="right" shrinkToFit="1"/>
    </xf>
    <xf numFmtId="0" fontId="6" fillId="0" borderId="46" xfId="0" applyFont="1" applyBorder="1" applyAlignment="1" applyProtection="1">
      <alignment horizontal="left" shrinkToFit="1"/>
      <protection locked="0"/>
    </xf>
    <xf numFmtId="0" fontId="6" fillId="0" borderId="47" xfId="0" applyFont="1" applyBorder="1" applyAlignment="1" applyProtection="1">
      <alignment horizontal="left" shrinkToFit="1"/>
      <protection locked="0"/>
    </xf>
    <xf numFmtId="0" fontId="6" fillId="0" borderId="42" xfId="0" applyFont="1" applyFill="1" applyBorder="1" applyAlignment="1" applyProtection="1">
      <alignment horizontal="left" vertical="center" shrinkToFit="1"/>
      <protection locked="0"/>
    </xf>
    <xf numFmtId="0" fontId="6" fillId="0" borderId="18" xfId="0" applyFont="1" applyFill="1" applyBorder="1" applyAlignment="1" applyProtection="1">
      <alignment horizontal="left" vertical="center" shrinkToFit="1"/>
      <protection locked="0"/>
    </xf>
    <xf numFmtId="0" fontId="6" fillId="0" borderId="32" xfId="0" applyFont="1" applyFill="1" applyBorder="1" applyAlignment="1" applyProtection="1">
      <alignment horizontal="left" vertical="center" shrinkToFit="1"/>
      <protection locked="0"/>
    </xf>
    <xf numFmtId="0" fontId="6" fillId="0" borderId="35" xfId="0" applyFont="1" applyBorder="1" applyAlignment="1" applyProtection="1">
      <alignment horizontal="left" shrinkToFit="1"/>
      <protection locked="0"/>
    </xf>
    <xf numFmtId="0" fontId="12" fillId="0" borderId="48" xfId="0" applyFont="1" applyBorder="1" applyAlignment="1" applyProtection="1">
      <alignment horizontal="left" vertical="center" shrinkToFit="1"/>
    </xf>
    <xf numFmtId="0" fontId="12" fillId="0" borderId="22" xfId="0" applyFont="1" applyBorder="1" applyAlignment="1" applyProtection="1">
      <alignment horizontal="left" vertical="center" shrinkToFit="1"/>
    </xf>
    <xf numFmtId="0" fontId="6" fillId="0" borderId="0" xfId="0" applyFont="1" applyBorder="1" applyAlignment="1" applyProtection="1">
      <alignment horizontal="center" vertical="top"/>
    </xf>
    <xf numFmtId="0" fontId="6" fillId="0" borderId="12" xfId="0" applyFont="1" applyBorder="1" applyAlignment="1" applyProtection="1">
      <alignment horizontal="center" vertical="top"/>
    </xf>
    <xf numFmtId="164" fontId="18" fillId="0" borderId="0" xfId="0" applyNumberFormat="1" applyFont="1" applyFill="1" applyBorder="1" applyAlignment="1" applyProtection="1">
      <alignment horizontal="center"/>
    </xf>
    <xf numFmtId="0" fontId="19" fillId="0" borderId="0" xfId="0" applyFont="1" applyBorder="1" applyAlignment="1" applyProtection="1">
      <alignment horizontal="center" vertical="top"/>
    </xf>
    <xf numFmtId="0" fontId="8" fillId="2" borderId="48" xfId="0" applyFont="1" applyFill="1" applyBorder="1" applyAlignment="1" applyProtection="1">
      <alignment horizontal="center" vertical="center" textRotation="180"/>
    </xf>
    <xf numFmtId="0" fontId="8" fillId="2" borderId="49" xfId="0" applyFont="1" applyFill="1" applyBorder="1" applyAlignment="1" applyProtection="1">
      <alignment horizontal="center" vertical="center" textRotation="180"/>
    </xf>
    <xf numFmtId="0" fontId="8" fillId="2" borderId="44" xfId="0" applyFont="1" applyFill="1" applyBorder="1" applyAlignment="1" applyProtection="1">
      <alignment horizontal="center" vertical="center" textRotation="180"/>
    </xf>
    <xf numFmtId="0" fontId="8" fillId="2" borderId="45" xfId="0" applyFont="1" applyFill="1" applyBorder="1" applyAlignment="1" applyProtection="1">
      <alignment horizontal="center" vertical="center" textRotation="180"/>
    </xf>
    <xf numFmtId="0" fontId="8" fillId="2" borderId="50" xfId="0" applyFont="1" applyFill="1" applyBorder="1" applyAlignment="1" applyProtection="1">
      <alignment horizontal="center" vertical="center" textRotation="180"/>
    </xf>
    <xf numFmtId="0" fontId="8" fillId="2" borderId="51" xfId="0" applyFont="1" applyFill="1" applyBorder="1" applyAlignment="1" applyProtection="1">
      <alignment horizontal="center" vertical="center" textRotation="180"/>
    </xf>
    <xf numFmtId="0" fontId="8" fillId="2" borderId="48" xfId="0" applyFont="1" applyFill="1" applyBorder="1" applyAlignment="1" applyProtection="1">
      <alignment horizontal="center" vertical="top" textRotation="180"/>
    </xf>
    <xf numFmtId="0" fontId="8" fillId="2" borderId="49" xfId="0" applyFont="1" applyFill="1" applyBorder="1" applyAlignment="1" applyProtection="1">
      <alignment horizontal="center" vertical="top" textRotation="180"/>
    </xf>
    <xf numFmtId="0" fontId="8" fillId="2" borderId="44" xfId="0" applyFont="1" applyFill="1" applyBorder="1" applyAlignment="1" applyProtection="1">
      <alignment horizontal="center" vertical="top" textRotation="180"/>
    </xf>
    <xf numFmtId="0" fontId="8" fillId="2" borderId="45" xfId="0" applyFont="1" applyFill="1" applyBorder="1" applyAlignment="1" applyProtection="1">
      <alignment horizontal="center" vertical="top" textRotation="180"/>
    </xf>
    <xf numFmtId="0" fontId="8" fillId="2" borderId="50" xfId="0" applyFont="1" applyFill="1" applyBorder="1" applyAlignment="1" applyProtection="1">
      <alignment horizontal="center" vertical="top" textRotation="180"/>
    </xf>
    <xf numFmtId="0" fontId="8" fillId="2" borderId="51" xfId="0" applyFont="1" applyFill="1" applyBorder="1" applyAlignment="1" applyProtection="1">
      <alignment horizontal="center" vertical="top" textRotation="180"/>
    </xf>
    <xf numFmtId="0" fontId="5" fillId="0" borderId="18" xfId="0" applyFont="1" applyBorder="1" applyAlignment="1" applyProtection="1">
      <alignment horizontal="left" vertical="center"/>
      <protection locked="0"/>
    </xf>
    <xf numFmtId="0" fontId="5" fillId="0" borderId="29" xfId="0" applyFont="1" applyBorder="1" applyAlignment="1" applyProtection="1">
      <alignment horizontal="left" vertical="center"/>
      <protection locked="0"/>
    </xf>
    <xf numFmtId="2" fontId="5" fillId="0" borderId="11" xfId="0" applyNumberFormat="1" applyFont="1" applyBorder="1" applyAlignment="1" applyProtection="1">
      <alignment horizontal="center" vertical="center"/>
    </xf>
    <xf numFmtId="2" fontId="5" fillId="0" borderId="39" xfId="0" applyNumberFormat="1" applyFont="1" applyBorder="1" applyAlignment="1" applyProtection="1">
      <alignment horizontal="center" vertical="center"/>
    </xf>
    <xf numFmtId="0" fontId="5" fillId="2" borderId="48" xfId="0" applyFont="1" applyFill="1" applyBorder="1" applyAlignment="1">
      <alignment horizontal="left"/>
    </xf>
    <xf numFmtId="0" fontId="5" fillId="2" borderId="22" xfId="0" applyFont="1" applyFill="1" applyBorder="1" applyAlignment="1">
      <alignment horizontal="left"/>
    </xf>
    <xf numFmtId="0" fontId="5" fillId="2" borderId="49" xfId="0" applyFont="1" applyFill="1" applyBorder="1" applyAlignment="1">
      <alignment horizontal="left"/>
    </xf>
    <xf numFmtId="2" fontId="5" fillId="0" borderId="14" xfId="0" applyNumberFormat="1" applyFont="1" applyBorder="1" applyAlignment="1" applyProtection="1">
      <alignment horizontal="center" vertical="center"/>
    </xf>
    <xf numFmtId="2" fontId="5" fillId="0" borderId="52" xfId="0" applyNumberFormat="1" applyFont="1" applyBorder="1" applyAlignment="1" applyProtection="1">
      <alignment horizontal="center" vertical="center"/>
    </xf>
    <xf numFmtId="0" fontId="6" fillId="0" borderId="33" xfId="0" applyFont="1" applyBorder="1" applyAlignment="1" applyProtection="1">
      <alignment horizontal="left" shrinkToFit="1"/>
      <protection locked="0"/>
    </xf>
    <xf numFmtId="0" fontId="6" fillId="0" borderId="16" xfId="0" applyFont="1" applyBorder="1" applyAlignment="1" applyProtection="1">
      <alignment horizontal="left" shrinkToFit="1"/>
      <protection locked="0"/>
    </xf>
    <xf numFmtId="0" fontId="6" fillId="0" borderId="43" xfId="0" applyFont="1" applyBorder="1" applyAlignment="1" applyProtection="1">
      <alignment horizontal="left" shrinkToFit="1"/>
      <protection locked="0"/>
    </xf>
    <xf numFmtId="0" fontId="6" fillId="2" borderId="9" xfId="0" applyFont="1" applyFill="1" applyBorder="1" applyAlignment="1" applyProtection="1">
      <alignment horizontal="right" shrinkToFit="1"/>
    </xf>
    <xf numFmtId="0" fontId="5" fillId="0" borderId="44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45" xfId="0" applyFont="1" applyFill="1" applyBorder="1" applyAlignment="1">
      <alignment horizontal="center"/>
    </xf>
    <xf numFmtId="0" fontId="5" fillId="0" borderId="20" xfId="0" applyFont="1" applyBorder="1" applyAlignment="1" applyProtection="1">
      <alignment horizontal="left" vertical="center"/>
      <protection locked="0"/>
    </xf>
    <xf numFmtId="0" fontId="5" fillId="0" borderId="30" xfId="0" applyFont="1" applyBorder="1" applyAlignment="1" applyProtection="1">
      <alignment horizontal="left" vertical="center"/>
      <protection locked="0"/>
    </xf>
    <xf numFmtId="0" fontId="6" fillId="0" borderId="34" xfId="0" applyFont="1" applyBorder="1" applyAlignment="1" applyProtection="1">
      <alignment horizontal="left" shrinkToFit="1"/>
      <protection locked="0"/>
    </xf>
    <xf numFmtId="0" fontId="8" fillId="2" borderId="40" xfId="0" applyFont="1" applyFill="1" applyBorder="1" applyAlignment="1" applyProtection="1">
      <alignment horizontal="center" vertical="center"/>
      <protection locked="0"/>
    </xf>
    <xf numFmtId="0" fontId="8" fillId="2" borderId="37" xfId="0" applyFont="1" applyFill="1" applyBorder="1" applyAlignment="1" applyProtection="1">
      <alignment horizontal="center" vertical="center"/>
      <protection locked="0"/>
    </xf>
    <xf numFmtId="0" fontId="8" fillId="2" borderId="38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</xf>
    <xf numFmtId="0" fontId="5" fillId="0" borderId="36" xfId="0" applyFont="1" applyFill="1" applyBorder="1" applyAlignment="1" applyProtection="1">
      <alignment horizontal="center" vertical="center"/>
      <protection locked="0"/>
    </xf>
    <xf numFmtId="0" fontId="5" fillId="0" borderId="37" xfId="0" applyFont="1" applyFill="1" applyBorder="1" applyAlignment="1" applyProtection="1">
      <alignment horizontal="center" vertical="center"/>
      <protection locked="0"/>
    </xf>
    <xf numFmtId="0" fontId="5" fillId="0" borderId="38" xfId="0" applyFont="1" applyFill="1" applyBorder="1" applyAlignment="1" applyProtection="1">
      <alignment horizontal="center" vertical="center"/>
      <protection locked="0"/>
    </xf>
    <xf numFmtId="0" fontId="5" fillId="0" borderId="40" xfId="0" applyFont="1" applyBorder="1" applyAlignment="1" applyProtection="1">
      <alignment horizontal="center" vertical="center"/>
      <protection locked="0"/>
    </xf>
    <xf numFmtId="0" fontId="5" fillId="0" borderId="37" xfId="0" applyFont="1" applyBorder="1" applyAlignment="1" applyProtection="1">
      <alignment horizontal="center" vertical="center"/>
      <protection locked="0"/>
    </xf>
    <xf numFmtId="0" fontId="5" fillId="0" borderId="38" xfId="0" applyFont="1" applyBorder="1" applyAlignment="1" applyProtection="1">
      <alignment horizontal="center" vertical="center"/>
      <protection locked="0"/>
    </xf>
    <xf numFmtId="0" fontId="5" fillId="2" borderId="40" xfId="0" applyFont="1" applyFill="1" applyBorder="1" applyAlignment="1" applyProtection="1">
      <alignment horizontal="left" vertical="center" shrinkToFit="1"/>
    </xf>
    <xf numFmtId="0" fontId="5" fillId="2" borderId="37" xfId="0" applyFont="1" applyFill="1" applyBorder="1" applyAlignment="1" applyProtection="1">
      <alignment horizontal="left" vertical="center" shrinkToFit="1"/>
    </xf>
    <xf numFmtId="0" fontId="5" fillId="2" borderId="41" xfId="0" applyFont="1" applyFill="1" applyBorder="1" applyAlignment="1" applyProtection="1">
      <alignment horizontal="left" vertical="center" shrinkToFit="1"/>
    </xf>
    <xf numFmtId="0" fontId="6" fillId="2" borderId="8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9" xfId="0" applyFont="1" applyFill="1" applyBorder="1" applyAlignment="1" applyProtection="1">
      <alignment horizontal="left" vertical="center"/>
    </xf>
    <xf numFmtId="0" fontId="5" fillId="0" borderId="50" xfId="0" applyFont="1" applyBorder="1" applyAlignment="1" applyProtection="1">
      <alignment horizontal="left"/>
      <protection locked="0"/>
    </xf>
    <xf numFmtId="0" fontId="5" fillId="0" borderId="12" xfId="0" applyFont="1" applyBorder="1" applyAlignment="1" applyProtection="1">
      <alignment horizontal="left"/>
      <protection locked="0"/>
    </xf>
    <xf numFmtId="0" fontId="5" fillId="0" borderId="51" xfId="0" applyFont="1" applyBorder="1" applyAlignment="1" applyProtection="1">
      <alignment horizontal="left"/>
      <protection locked="0"/>
    </xf>
    <xf numFmtId="0" fontId="5" fillId="0" borderId="16" xfId="0" applyFont="1" applyBorder="1" applyAlignment="1" applyProtection="1">
      <alignment horizontal="left" vertical="center"/>
      <protection locked="0"/>
    </xf>
    <xf numFmtId="0" fontId="5" fillId="0" borderId="27" xfId="0" applyFont="1" applyBorder="1" applyAlignment="1" applyProtection="1">
      <alignment horizontal="left" vertical="center"/>
      <protection locked="0"/>
    </xf>
    <xf numFmtId="0" fontId="5" fillId="0" borderId="17" xfId="0" applyFont="1" applyBorder="1" applyAlignment="1" applyProtection="1">
      <alignment horizontal="left" vertical="center" shrinkToFit="1"/>
      <protection locked="0"/>
    </xf>
    <xf numFmtId="0" fontId="5" fillId="0" borderId="29" xfId="0" applyFont="1" applyBorder="1" applyAlignment="1" applyProtection="1">
      <alignment horizontal="left" vertical="center" shrinkToFit="1"/>
      <protection locked="0"/>
    </xf>
    <xf numFmtId="0" fontId="5" fillId="0" borderId="19" xfId="0" applyFont="1" applyBorder="1" applyAlignment="1" applyProtection="1">
      <alignment horizontal="left" vertical="center" shrinkToFit="1"/>
      <protection locked="0"/>
    </xf>
    <xf numFmtId="0" fontId="5" fillId="0" borderId="20" xfId="0" applyFont="1" applyBorder="1" applyAlignment="1" applyProtection="1">
      <alignment horizontal="left" vertical="center" shrinkToFit="1"/>
      <protection locked="0"/>
    </xf>
    <xf numFmtId="0" fontId="5" fillId="0" borderId="30" xfId="0" applyFont="1" applyBorder="1" applyAlignment="1" applyProtection="1">
      <alignment horizontal="left" vertical="center" shrinkToFit="1"/>
      <protection locked="0"/>
    </xf>
    <xf numFmtId="0" fontId="5" fillId="0" borderId="24" xfId="0" applyFont="1" applyBorder="1" applyAlignment="1" applyProtection="1">
      <alignment horizontal="left" vertical="center" shrinkToFit="1"/>
      <protection locked="0"/>
    </xf>
    <xf numFmtId="0" fontId="5" fillId="0" borderId="25" xfId="0" applyFont="1" applyBorder="1" applyAlignment="1" applyProtection="1">
      <alignment horizontal="left" vertical="center" shrinkToFit="1"/>
      <protection locked="0"/>
    </xf>
    <xf numFmtId="0" fontId="5" fillId="0" borderId="26" xfId="0" applyFont="1" applyBorder="1" applyAlignment="1" applyProtection="1">
      <alignment horizontal="left" vertical="center" shrinkToFit="1"/>
      <protection locked="0"/>
    </xf>
    <xf numFmtId="0" fontId="5" fillId="0" borderId="17" xfId="0" applyFont="1" applyBorder="1" applyAlignment="1">
      <alignment horizontal="left" vertical="center" shrinkToFit="1"/>
    </xf>
    <xf numFmtId="0" fontId="5" fillId="0" borderId="18" xfId="0" applyFont="1" applyBorder="1" applyAlignment="1">
      <alignment horizontal="left" vertical="center" shrinkToFit="1"/>
    </xf>
    <xf numFmtId="0" fontId="5" fillId="0" borderId="29" xfId="0" applyFont="1" applyBorder="1" applyAlignment="1">
      <alignment horizontal="left" vertical="center" shrinkToFit="1"/>
    </xf>
    <xf numFmtId="0" fontId="5" fillId="0" borderId="19" xfId="0" applyFont="1" applyBorder="1" applyAlignment="1">
      <alignment horizontal="left" vertical="center" shrinkToFit="1"/>
    </xf>
    <xf numFmtId="0" fontId="5" fillId="0" borderId="20" xfId="0" applyFont="1" applyBorder="1" applyAlignment="1">
      <alignment horizontal="left" vertical="center" shrinkToFit="1"/>
    </xf>
    <xf numFmtId="0" fontId="5" fillId="0" borderId="30" xfId="0" applyFont="1" applyBorder="1" applyAlignment="1">
      <alignment horizontal="left" vertical="center" shrinkToFit="1"/>
    </xf>
    <xf numFmtId="0" fontId="5" fillId="0" borderId="24" xfId="0" applyFont="1" applyBorder="1" applyAlignment="1">
      <alignment horizontal="left" vertical="center" shrinkToFit="1"/>
    </xf>
    <xf numFmtId="0" fontId="5" fillId="0" borderId="25" xfId="0" applyFont="1" applyBorder="1" applyAlignment="1">
      <alignment horizontal="left" vertical="center" shrinkToFit="1"/>
    </xf>
    <xf numFmtId="0" fontId="5" fillId="0" borderId="26" xfId="0" applyFont="1" applyBorder="1" applyAlignment="1">
      <alignment horizontal="left" vertical="center" shrinkToFit="1"/>
    </xf>
    <xf numFmtId="0" fontId="5" fillId="2" borderId="8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 shrinkToFit="1"/>
    </xf>
    <xf numFmtId="0" fontId="5" fillId="0" borderId="57" xfId="0" applyFont="1" applyBorder="1" applyAlignment="1" applyProtection="1">
      <alignment horizontal="left" vertical="center" shrinkToFit="1"/>
      <protection locked="0"/>
    </xf>
    <xf numFmtId="0" fontId="5" fillId="0" borderId="58" xfId="0" applyFont="1" applyBorder="1" applyAlignment="1" applyProtection="1">
      <alignment horizontal="left" vertical="center" shrinkToFit="1"/>
      <protection locked="0"/>
    </xf>
    <xf numFmtId="0" fontId="5" fillId="0" borderId="28" xfId="0" applyFont="1" applyBorder="1" applyAlignment="1" applyProtection="1">
      <alignment horizontal="left" vertical="center" shrinkToFit="1"/>
      <protection locked="0"/>
    </xf>
    <xf numFmtId="0" fontId="10" fillId="0" borderId="3" xfId="0" applyFont="1" applyBorder="1" applyAlignment="1">
      <alignment horizontal="right" vertical="center"/>
    </xf>
    <xf numFmtId="0" fontId="5" fillId="0" borderId="17" xfId="0" applyFont="1" applyBorder="1" applyAlignment="1" applyProtection="1">
      <alignment horizontal="center" vertical="center" shrinkToFit="1"/>
      <protection locked="0"/>
    </xf>
    <xf numFmtId="0" fontId="5" fillId="0" borderId="18" xfId="0" applyFont="1" applyBorder="1" applyAlignment="1" applyProtection="1">
      <alignment horizontal="center" vertical="center" shrinkToFit="1"/>
      <protection locked="0"/>
    </xf>
    <xf numFmtId="0" fontId="5" fillId="0" borderId="29" xfId="0" applyFont="1" applyBorder="1" applyAlignment="1" applyProtection="1">
      <alignment horizontal="center" vertical="center" shrinkToFit="1"/>
      <protection locked="0"/>
    </xf>
    <xf numFmtId="0" fontId="6" fillId="0" borderId="50" xfId="0" applyFont="1" applyBorder="1" applyAlignment="1" applyProtection="1">
      <alignment horizontal="left"/>
    </xf>
    <xf numFmtId="0" fontId="6" fillId="0" borderId="12" xfId="0" applyFont="1" applyBorder="1" applyAlignment="1" applyProtection="1">
      <alignment horizontal="left"/>
    </xf>
    <xf numFmtId="0" fontId="6" fillId="0" borderId="51" xfId="0" applyFont="1" applyBorder="1" applyAlignment="1" applyProtection="1">
      <alignment horizontal="left"/>
    </xf>
    <xf numFmtId="0" fontId="16" fillId="0" borderId="56" xfId="0" applyFont="1" applyBorder="1" applyAlignment="1" applyProtection="1">
      <alignment horizontal="left" vertical="center" shrinkToFit="1"/>
    </xf>
    <xf numFmtId="0" fontId="16" fillId="0" borderId="21" xfId="0" applyFont="1" applyBorder="1" applyAlignment="1" applyProtection="1">
      <alignment horizontal="left" vertical="center" shrinkToFit="1"/>
    </xf>
    <xf numFmtId="0" fontId="16" fillId="0" borderId="56" xfId="0" applyFont="1" applyFill="1" applyBorder="1" applyAlignment="1" applyProtection="1">
      <alignment horizontal="left" vertical="center"/>
    </xf>
    <xf numFmtId="0" fontId="16" fillId="0" borderId="21" xfId="0" applyFont="1" applyFill="1" applyBorder="1" applyAlignment="1" applyProtection="1">
      <alignment horizontal="left" vertical="center"/>
    </xf>
    <xf numFmtId="0" fontId="6" fillId="0" borderId="21" xfId="0" applyFont="1" applyBorder="1" applyAlignment="1" applyProtection="1">
      <alignment horizontal="left" vertical="center" shrinkToFit="1"/>
    </xf>
    <xf numFmtId="0" fontId="6" fillId="0" borderId="55" xfId="0" applyFont="1" applyBorder="1" applyAlignment="1" applyProtection="1">
      <alignment horizontal="left" vertical="center" shrinkToFit="1"/>
    </xf>
    <xf numFmtId="0" fontId="6" fillId="0" borderId="33" xfId="0" applyFont="1" applyBorder="1" applyAlignment="1" applyProtection="1">
      <alignment horizontal="left" vertical="center" shrinkToFit="1"/>
    </xf>
    <xf numFmtId="0" fontId="6" fillId="0" borderId="16" xfId="0" applyFont="1" applyBorder="1" applyAlignment="1" applyProtection="1">
      <alignment horizontal="left" vertical="center" shrinkToFit="1"/>
    </xf>
    <xf numFmtId="0" fontId="6" fillId="0" borderId="43" xfId="0" applyFont="1" applyBorder="1" applyAlignment="1" applyProtection="1">
      <alignment horizontal="left" vertical="center" shrinkToFit="1"/>
    </xf>
    <xf numFmtId="0" fontId="6" fillId="0" borderId="50" xfId="0" applyFont="1" applyBorder="1" applyAlignment="1" applyProtection="1">
      <alignment horizontal="left" vertical="center" shrinkToFit="1"/>
    </xf>
    <xf numFmtId="0" fontId="6" fillId="0" borderId="12" xfId="0" applyFont="1" applyBorder="1" applyAlignment="1" applyProtection="1">
      <alignment horizontal="left" vertical="center" shrinkToFit="1"/>
    </xf>
    <xf numFmtId="0" fontId="6" fillId="0" borderId="51" xfId="0" applyFont="1" applyBorder="1" applyAlignment="1" applyProtection="1">
      <alignment horizontal="left" vertical="center" shrinkToFit="1"/>
    </xf>
    <xf numFmtId="0" fontId="9" fillId="0" borderId="2" xfId="0" applyFont="1" applyFill="1" applyBorder="1" applyAlignment="1" applyProtection="1">
      <alignment horizontal="center" vertical="center" shrinkToFit="1"/>
    </xf>
    <xf numFmtId="0" fontId="8" fillId="2" borderId="40" xfId="0" applyFont="1" applyFill="1" applyBorder="1" applyAlignment="1" applyProtection="1">
      <alignment horizontal="center" vertical="center"/>
    </xf>
    <xf numFmtId="0" fontId="8" fillId="2" borderId="37" xfId="0" applyFont="1" applyFill="1" applyBorder="1" applyAlignment="1" applyProtection="1">
      <alignment horizontal="center" vertical="center"/>
    </xf>
    <xf numFmtId="0" fontId="8" fillId="2" borderId="38" xfId="0" applyFont="1" applyFill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/>
    </xf>
    <xf numFmtId="0" fontId="6" fillId="0" borderId="44" xfId="0" applyFont="1" applyBorder="1" applyAlignment="1" applyProtection="1">
      <alignment horizontal="left" vertical="center" shrinkToFit="1"/>
    </xf>
    <xf numFmtId="0" fontId="6" fillId="0" borderId="0" xfId="0" applyFont="1" applyBorder="1" applyAlignment="1" applyProtection="1">
      <alignment horizontal="left" vertical="center" shrinkToFit="1"/>
    </xf>
    <xf numFmtId="0" fontId="6" fillId="0" borderId="45" xfId="0" applyFont="1" applyBorder="1" applyAlignment="1" applyProtection="1">
      <alignment horizontal="left" vertical="center" shrinkToFit="1"/>
    </xf>
    <xf numFmtId="0" fontId="6" fillId="0" borderId="16" xfId="0" applyFont="1" applyBorder="1" applyAlignment="1" applyProtection="1">
      <alignment horizontal="left" vertical="center"/>
    </xf>
    <xf numFmtId="0" fontId="6" fillId="0" borderId="27" xfId="0" applyFont="1" applyBorder="1" applyAlignment="1" applyProtection="1">
      <alignment horizontal="left" vertical="center"/>
    </xf>
    <xf numFmtId="0" fontId="6" fillId="2" borderId="48" xfId="0" applyFont="1" applyFill="1" applyBorder="1" applyAlignment="1" applyProtection="1">
      <alignment horizontal="left" shrinkToFit="1"/>
    </xf>
    <xf numFmtId="0" fontId="6" fillId="2" borderId="22" xfId="0" applyFont="1" applyFill="1" applyBorder="1" applyAlignment="1" applyProtection="1">
      <alignment horizontal="left" shrinkToFit="1"/>
    </xf>
    <xf numFmtId="0" fontId="6" fillId="2" borderId="49" xfId="0" applyFont="1" applyFill="1" applyBorder="1" applyAlignment="1" applyProtection="1">
      <alignment horizontal="left" shrinkToFit="1"/>
    </xf>
    <xf numFmtId="0" fontId="6" fillId="0" borderId="58" xfId="0" applyFont="1" applyBorder="1" applyAlignment="1" applyProtection="1">
      <alignment horizontal="left" vertical="center"/>
    </xf>
    <xf numFmtId="0" fontId="6" fillId="0" borderId="28" xfId="0" applyFont="1" applyBorder="1" applyAlignment="1" applyProtection="1">
      <alignment horizontal="left" vertical="center"/>
    </xf>
    <xf numFmtId="0" fontId="6" fillId="2" borderId="48" xfId="0" applyFont="1" applyFill="1" applyBorder="1" applyAlignment="1" applyProtection="1">
      <alignment horizontal="left"/>
    </xf>
    <xf numFmtId="0" fontId="6" fillId="2" borderId="22" xfId="0" applyFont="1" applyFill="1" applyBorder="1" applyAlignment="1" applyProtection="1">
      <alignment horizontal="left"/>
    </xf>
    <xf numFmtId="0" fontId="6" fillId="2" borderId="49" xfId="0" applyFont="1" applyFill="1" applyBorder="1" applyAlignment="1" applyProtection="1">
      <alignment horizontal="left"/>
    </xf>
    <xf numFmtId="0" fontId="6" fillId="0" borderId="44" xfId="0" applyFont="1" applyFill="1" applyBorder="1" applyAlignment="1" applyProtection="1">
      <alignment horizontal="left" vertical="center"/>
    </xf>
    <xf numFmtId="0" fontId="6" fillId="0" borderId="0" xfId="0" applyFont="1" applyFill="1" applyBorder="1" applyAlignment="1" applyProtection="1">
      <alignment horizontal="left" vertical="center"/>
    </xf>
    <xf numFmtId="0" fontId="6" fillId="0" borderId="45" xfId="0" applyFont="1" applyFill="1" applyBorder="1" applyAlignment="1" applyProtection="1">
      <alignment horizontal="left" vertical="center"/>
    </xf>
    <xf numFmtId="0" fontId="5" fillId="2" borderId="8" xfId="0" applyFont="1" applyFill="1" applyBorder="1" applyAlignment="1" applyProtection="1">
      <alignment horizontal="right"/>
    </xf>
    <xf numFmtId="0" fontId="5" fillId="2" borderId="1" xfId="0" applyFont="1" applyFill="1" applyBorder="1" applyAlignment="1" applyProtection="1">
      <alignment horizontal="right"/>
    </xf>
    <xf numFmtId="0" fontId="5" fillId="2" borderId="1" xfId="0" applyFont="1" applyFill="1" applyBorder="1" applyAlignment="1" applyProtection="1">
      <alignment horizontal="center"/>
    </xf>
    <xf numFmtId="0" fontId="5" fillId="2" borderId="9" xfId="0" applyFont="1" applyFill="1" applyBorder="1" applyAlignment="1" applyProtection="1">
      <alignment horizontal="center"/>
    </xf>
    <xf numFmtId="0" fontId="6" fillId="2" borderId="23" xfId="0" applyFont="1" applyFill="1" applyBorder="1" applyAlignment="1" applyProtection="1">
      <alignment horizontal="center"/>
    </xf>
    <xf numFmtId="0" fontId="6" fillId="2" borderId="4" xfId="0" applyFont="1" applyFill="1" applyBorder="1" applyAlignment="1" applyProtection="1">
      <alignment horizontal="center"/>
    </xf>
    <xf numFmtId="0" fontId="6" fillId="2" borderId="7" xfId="0" applyFont="1" applyFill="1" applyBorder="1" applyAlignment="1" applyProtection="1">
      <alignment horizontal="center"/>
    </xf>
    <xf numFmtId="0" fontId="5" fillId="0" borderId="0" xfId="0" applyFont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2</xdr:col>
      <xdr:colOff>133350</xdr:colOff>
      <xdr:row>1</xdr:row>
      <xdr:rowOff>209550</xdr:rowOff>
    </xdr:to>
    <xdr:pic>
      <xdr:nvPicPr>
        <xdr:cNvPr id="1026" name="Picture 2" descr="C:\My Documents\CLV\clv logo BW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" y="9525"/>
          <a:ext cx="428625" cy="42862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2</xdr:col>
      <xdr:colOff>123825</xdr:colOff>
      <xdr:row>2</xdr:row>
      <xdr:rowOff>0</xdr:rowOff>
    </xdr:to>
    <xdr:pic>
      <xdr:nvPicPr>
        <xdr:cNvPr id="5133" name="Picture 13" descr="C:\My Documents\CLV\clv logo BW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8575"/>
          <a:ext cx="428625" cy="4286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C61"/>
  <sheetViews>
    <sheetView tabSelected="1" zoomScaleNormal="100" zoomScaleSheetLayoutView="110" workbookViewId="0">
      <selection activeCell="Q10" sqref="Q10"/>
    </sheetView>
  </sheetViews>
  <sheetFormatPr defaultRowHeight="12.75" x14ac:dyDescent="0.2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 x14ac:dyDescent="0.3">
      <c r="A1" s="31"/>
      <c r="B1" s="31"/>
      <c r="C1" s="32"/>
      <c r="D1" s="150"/>
      <c r="E1" s="150"/>
      <c r="F1" s="53"/>
      <c r="G1" s="132" t="s">
        <v>42</v>
      </c>
      <c r="H1" s="132"/>
      <c r="I1" s="132"/>
      <c r="J1" s="132"/>
      <c r="K1" s="132"/>
      <c r="L1" s="132"/>
      <c r="M1" s="132"/>
      <c r="N1" s="132"/>
      <c r="O1" s="132"/>
      <c r="P1" s="59"/>
      <c r="Q1" s="183" t="s">
        <v>43</v>
      </c>
      <c r="R1" s="184"/>
      <c r="S1" s="185"/>
      <c r="T1" s="1"/>
      <c r="U1" s="1"/>
      <c r="V1" s="1"/>
      <c r="W1" s="1"/>
      <c r="X1" s="1"/>
      <c r="Y1" s="1"/>
      <c r="Z1" s="1"/>
      <c r="AA1" s="1"/>
    </row>
    <row r="2" spans="1:29" ht="18" customHeight="1" thickBot="1" x14ac:dyDescent="0.3">
      <c r="A2" s="31"/>
      <c r="B2" s="31"/>
      <c r="C2" s="32"/>
      <c r="D2" s="151"/>
      <c r="E2" s="151"/>
      <c r="F2" s="52"/>
      <c r="G2" s="133"/>
      <c r="H2" s="133"/>
      <c r="I2" s="133"/>
      <c r="J2" s="133"/>
      <c r="K2" s="133"/>
      <c r="L2" s="133"/>
      <c r="M2" s="133"/>
      <c r="N2" s="133"/>
      <c r="O2" s="133"/>
      <c r="P2" s="50"/>
      <c r="Q2" s="183" t="s">
        <v>44</v>
      </c>
      <c r="R2" s="184"/>
      <c r="S2" s="185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62" customFormat="1" ht="3" customHeight="1" thickBot="1" x14ac:dyDescent="0.3">
      <c r="A3" s="46"/>
      <c r="B3" s="46"/>
      <c r="C3" s="47"/>
      <c r="D3" s="47"/>
      <c r="E3" s="47"/>
      <c r="F3" s="47"/>
      <c r="G3" s="48"/>
      <c r="H3" s="48"/>
      <c r="I3" s="48"/>
      <c r="J3" s="60"/>
      <c r="K3" s="60"/>
      <c r="L3" s="60"/>
      <c r="M3" s="60"/>
      <c r="N3" s="60"/>
      <c r="O3" s="60"/>
      <c r="P3" s="60"/>
      <c r="Q3" s="49"/>
      <c r="R3" s="49"/>
      <c r="S3" s="49"/>
      <c r="T3" s="48"/>
      <c r="U3" s="48"/>
      <c r="V3" s="48"/>
      <c r="W3" s="48"/>
      <c r="X3" s="48"/>
      <c r="Y3" s="48"/>
      <c r="Z3" s="48"/>
      <c r="AA3" s="48"/>
      <c r="AB3" s="61"/>
    </row>
    <row r="4" spans="1:29" ht="12.75" customHeight="1" x14ac:dyDescent="0.35">
      <c r="A4" s="130" t="s">
        <v>35</v>
      </c>
      <c r="B4" s="131"/>
      <c r="C4" s="131"/>
      <c r="D4" s="67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9"/>
      <c r="P4" s="51"/>
      <c r="Q4" s="186" t="s">
        <v>36</v>
      </c>
      <c r="R4" s="186"/>
      <c r="S4" s="186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 x14ac:dyDescent="0.35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4"/>
      <c r="P5" s="51"/>
      <c r="Q5" s="39"/>
      <c r="R5" s="39"/>
      <c r="S5" s="39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 x14ac:dyDescent="0.4">
      <c r="A6" s="125"/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7"/>
      <c r="P6" s="51"/>
      <c r="Q6" s="39"/>
      <c r="R6" s="39"/>
      <c r="S6" s="39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 x14ac:dyDescent="0.4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51"/>
      <c r="Q7" s="148" t="s">
        <v>10</v>
      </c>
      <c r="R7" s="148"/>
      <c r="S7" s="148"/>
      <c r="T7" s="4"/>
      <c r="U7" s="4"/>
      <c r="V7" s="4"/>
      <c r="W7" s="4"/>
      <c r="X7" s="4"/>
      <c r="Y7" s="5"/>
      <c r="Z7" s="5"/>
      <c r="AA7" s="5"/>
      <c r="AB7" s="10"/>
    </row>
    <row r="8" spans="1:29" ht="12.75" customHeight="1" thickBot="1" x14ac:dyDescent="0.4">
      <c r="A8" s="146" t="s">
        <v>37</v>
      </c>
      <c r="B8" s="147"/>
      <c r="C8" s="147"/>
      <c r="D8" s="69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9"/>
      <c r="P8" s="51"/>
      <c r="Q8" s="149" t="s">
        <v>38</v>
      </c>
      <c r="R8" s="149"/>
      <c r="S8" s="149"/>
      <c r="T8" s="4"/>
      <c r="U8" s="4"/>
      <c r="V8" s="4"/>
      <c r="W8" s="4"/>
      <c r="X8" s="4"/>
      <c r="Y8" s="5"/>
      <c r="Z8" s="5"/>
      <c r="AA8" s="5"/>
      <c r="AB8" s="10"/>
    </row>
    <row r="9" spans="1:29" ht="12.75" customHeight="1" thickBot="1" x14ac:dyDescent="0.4">
      <c r="A9" s="200"/>
      <c r="B9" s="201"/>
      <c r="C9" s="201"/>
      <c r="D9" s="201"/>
      <c r="E9" s="201"/>
      <c r="F9" s="201"/>
      <c r="G9" s="201"/>
      <c r="H9" s="201"/>
      <c r="I9" s="201"/>
      <c r="J9" s="201"/>
      <c r="K9" s="201"/>
      <c r="L9" s="201"/>
      <c r="M9" s="201"/>
      <c r="N9" s="201"/>
      <c r="O9" s="202"/>
      <c r="P9" s="38"/>
      <c r="Q9" s="191">
        <v>15</v>
      </c>
      <c r="R9" s="192"/>
      <c r="S9" s="193"/>
      <c r="T9" s="4"/>
      <c r="U9" s="4"/>
      <c r="V9" s="4"/>
      <c r="W9" s="4"/>
      <c r="X9" s="4"/>
      <c r="Y9" s="5"/>
      <c r="Z9" s="5"/>
      <c r="AA9" s="5"/>
      <c r="AB9" s="10"/>
    </row>
    <row r="10" spans="1:29" s="62" customFormat="1" ht="5.25" customHeight="1" x14ac:dyDescent="0.25">
      <c r="A10" s="46"/>
      <c r="B10" s="46"/>
      <c r="C10" s="47"/>
      <c r="D10" s="47"/>
      <c r="E10" s="47"/>
      <c r="F10" s="47"/>
      <c r="G10" s="48"/>
      <c r="H10" s="48"/>
      <c r="I10" s="48"/>
      <c r="J10" s="60"/>
      <c r="K10" s="60"/>
      <c r="L10" s="60"/>
      <c r="M10" s="60"/>
      <c r="N10" s="60"/>
      <c r="O10" s="60"/>
      <c r="P10" s="60"/>
      <c r="Q10" s="49"/>
      <c r="R10" s="49"/>
      <c r="S10" s="49"/>
      <c r="T10" s="48"/>
      <c r="U10" s="48"/>
      <c r="V10" s="48"/>
      <c r="W10" s="48"/>
      <c r="X10" s="48"/>
      <c r="Y10" s="48"/>
      <c r="Z10" s="48"/>
      <c r="AA10" s="48"/>
      <c r="AB10" s="61"/>
    </row>
    <row r="11" spans="1:29" ht="12" customHeight="1" x14ac:dyDescent="0.2">
      <c r="A11" s="197" t="s">
        <v>28</v>
      </c>
      <c r="B11" s="198"/>
      <c r="C11" s="198"/>
      <c r="D11" s="198"/>
      <c r="E11" s="198"/>
      <c r="F11" s="198"/>
      <c r="G11" s="198"/>
      <c r="H11" s="198"/>
      <c r="I11" s="199"/>
      <c r="J11" s="16" t="s">
        <v>10</v>
      </c>
      <c r="K11" s="17"/>
      <c r="L11" s="16" t="s">
        <v>11</v>
      </c>
      <c r="M11" s="18"/>
      <c r="N11" s="16" t="s">
        <v>14</v>
      </c>
      <c r="O11" s="16" t="s">
        <v>16</v>
      </c>
      <c r="P11" s="16"/>
      <c r="Q11" s="187" t="s">
        <v>15</v>
      </c>
      <c r="R11" s="187"/>
      <c r="S11" s="187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 x14ac:dyDescent="0.2">
      <c r="A12" s="57" t="s">
        <v>0</v>
      </c>
      <c r="B12" s="58"/>
      <c r="C12" s="203" t="s">
        <v>46</v>
      </c>
      <c r="D12" s="203"/>
      <c r="E12" s="203"/>
      <c r="F12" s="203"/>
      <c r="G12" s="203"/>
      <c r="H12" s="203"/>
      <c r="I12" s="204"/>
      <c r="J12" s="121">
        <v>25</v>
      </c>
      <c r="K12" s="20"/>
      <c r="L12" s="44" t="s">
        <v>45</v>
      </c>
      <c r="M12" s="21"/>
      <c r="N12" s="40">
        <f t="shared" ref="N12:N31" si="0">IF(C12=0," ",(J12/$J$33)*50)</f>
        <v>8.3333333333333321</v>
      </c>
      <c r="O12" s="41">
        <f t="shared" ref="O12:O31" si="1">IF(C12=0," ",(J12/$J$33)*75)</f>
        <v>12.5</v>
      </c>
      <c r="P12" s="41"/>
      <c r="Q12" s="166">
        <f t="shared" ref="Q12:Q31" si="2">IF(C12=0," ",(J12/$J$33)*$Q$9)</f>
        <v>2.5</v>
      </c>
      <c r="R12" s="166"/>
      <c r="S12" s="167"/>
      <c r="U12" s="9"/>
      <c r="V12" s="9"/>
    </row>
    <row r="13" spans="1:29" ht="12.75" customHeight="1" x14ac:dyDescent="0.2">
      <c r="A13" s="63" t="s">
        <v>1</v>
      </c>
      <c r="B13" s="64"/>
      <c r="C13" s="164"/>
      <c r="D13" s="164"/>
      <c r="E13" s="164"/>
      <c r="F13" s="164"/>
      <c r="G13" s="164"/>
      <c r="H13" s="164"/>
      <c r="I13" s="165"/>
      <c r="J13" s="121"/>
      <c r="K13" s="20"/>
      <c r="L13" s="45"/>
      <c r="M13" s="21"/>
      <c r="N13" s="40" t="str">
        <f t="shared" si="0"/>
        <v xml:space="preserve"> </v>
      </c>
      <c r="O13" s="41" t="str">
        <f t="shared" si="1"/>
        <v xml:space="preserve"> </v>
      </c>
      <c r="P13" s="41"/>
      <c r="Q13" s="166" t="str">
        <f t="shared" si="2"/>
        <v xml:space="preserve"> </v>
      </c>
      <c r="R13" s="166"/>
      <c r="S13" s="167"/>
      <c r="U13" s="9"/>
      <c r="V13" s="9"/>
    </row>
    <row r="14" spans="1:29" ht="12.75" customHeight="1" x14ac:dyDescent="0.2">
      <c r="A14" s="63" t="s">
        <v>2</v>
      </c>
      <c r="B14" s="64"/>
      <c r="C14" s="164" t="s">
        <v>47</v>
      </c>
      <c r="D14" s="164"/>
      <c r="E14" s="164"/>
      <c r="F14" s="164"/>
      <c r="G14" s="164"/>
      <c r="H14" s="164"/>
      <c r="I14" s="165"/>
      <c r="J14" s="121">
        <v>10</v>
      </c>
      <c r="K14" s="20"/>
      <c r="L14" s="45" t="s">
        <v>45</v>
      </c>
      <c r="M14" s="21"/>
      <c r="N14" s="40">
        <f t="shared" si="0"/>
        <v>3.3333333333333335</v>
      </c>
      <c r="O14" s="41">
        <f t="shared" si="1"/>
        <v>5</v>
      </c>
      <c r="P14" s="41"/>
      <c r="Q14" s="166">
        <f t="shared" si="2"/>
        <v>1</v>
      </c>
      <c r="R14" s="166"/>
      <c r="S14" s="167"/>
      <c r="U14" s="9"/>
      <c r="V14" s="9"/>
    </row>
    <row r="15" spans="1:29" ht="12.75" customHeight="1" x14ac:dyDescent="0.2">
      <c r="A15" s="63" t="s">
        <v>3</v>
      </c>
      <c r="B15" s="64"/>
      <c r="C15" s="164" t="s">
        <v>48</v>
      </c>
      <c r="D15" s="164"/>
      <c r="E15" s="164"/>
      <c r="F15" s="164"/>
      <c r="G15" s="164"/>
      <c r="H15" s="164"/>
      <c r="I15" s="165"/>
      <c r="J15" s="121">
        <v>4</v>
      </c>
      <c r="K15" s="20"/>
      <c r="L15" s="45" t="s">
        <v>45</v>
      </c>
      <c r="M15" s="19"/>
      <c r="N15" s="40">
        <f t="shared" si="0"/>
        <v>1.3333333333333335</v>
      </c>
      <c r="O15" s="41">
        <f t="shared" si="1"/>
        <v>2</v>
      </c>
      <c r="P15" s="41"/>
      <c r="Q15" s="166">
        <f t="shared" si="2"/>
        <v>0.4</v>
      </c>
      <c r="R15" s="166"/>
      <c r="S15" s="167"/>
      <c r="U15" s="9"/>
      <c r="V15" s="9"/>
    </row>
    <row r="16" spans="1:29" ht="12.75" customHeight="1" x14ac:dyDescent="0.2">
      <c r="A16" s="63" t="s">
        <v>4</v>
      </c>
      <c r="B16" s="64"/>
      <c r="C16" s="164" t="s">
        <v>49</v>
      </c>
      <c r="D16" s="164"/>
      <c r="E16" s="164"/>
      <c r="F16" s="164"/>
      <c r="G16" s="164"/>
      <c r="H16" s="164"/>
      <c r="I16" s="165"/>
      <c r="J16" s="121">
        <v>3</v>
      </c>
      <c r="K16" s="20"/>
      <c r="L16" s="45" t="s">
        <v>45</v>
      </c>
      <c r="M16" s="21"/>
      <c r="N16" s="40">
        <f t="shared" si="0"/>
        <v>1</v>
      </c>
      <c r="O16" s="41">
        <f t="shared" si="1"/>
        <v>1.5</v>
      </c>
      <c r="P16" s="41"/>
      <c r="Q16" s="166">
        <f t="shared" si="2"/>
        <v>0.3</v>
      </c>
      <c r="R16" s="166"/>
      <c r="S16" s="167"/>
      <c r="U16" s="9"/>
      <c r="V16" s="9"/>
    </row>
    <row r="17" spans="1:23" ht="12.75" customHeight="1" x14ac:dyDescent="0.2">
      <c r="A17" s="63" t="s">
        <v>5</v>
      </c>
      <c r="B17" s="64"/>
      <c r="C17" s="164" t="s">
        <v>50</v>
      </c>
      <c r="D17" s="164"/>
      <c r="E17" s="164"/>
      <c r="F17" s="164"/>
      <c r="G17" s="164"/>
      <c r="H17" s="164"/>
      <c r="I17" s="165"/>
      <c r="J17" s="121">
        <v>0.5</v>
      </c>
      <c r="K17" s="20"/>
      <c r="L17" s="45" t="s">
        <v>45</v>
      </c>
      <c r="M17" s="21"/>
      <c r="N17" s="40">
        <f t="shared" si="0"/>
        <v>0.16666666666666669</v>
      </c>
      <c r="O17" s="41">
        <f t="shared" si="1"/>
        <v>0.25</v>
      </c>
      <c r="P17" s="41"/>
      <c r="Q17" s="166">
        <f t="shared" si="2"/>
        <v>0.05</v>
      </c>
      <c r="R17" s="166"/>
      <c r="S17" s="167"/>
      <c r="U17" s="9"/>
      <c r="V17" s="9"/>
    </row>
    <row r="18" spans="1:23" ht="12.75" customHeight="1" x14ac:dyDescent="0.2">
      <c r="A18" s="63" t="s">
        <v>6</v>
      </c>
      <c r="B18" s="64"/>
      <c r="C18" s="164" t="s">
        <v>51</v>
      </c>
      <c r="D18" s="164"/>
      <c r="E18" s="164"/>
      <c r="F18" s="164"/>
      <c r="G18" s="164"/>
      <c r="H18" s="164"/>
      <c r="I18" s="165"/>
      <c r="J18" s="121">
        <v>4</v>
      </c>
      <c r="K18" s="20"/>
      <c r="L18" s="45" t="s">
        <v>52</v>
      </c>
      <c r="M18" s="21"/>
      <c r="N18" s="40">
        <f t="shared" si="0"/>
        <v>1.3333333333333335</v>
      </c>
      <c r="O18" s="41">
        <f t="shared" si="1"/>
        <v>2</v>
      </c>
      <c r="P18" s="41"/>
      <c r="Q18" s="166">
        <f t="shared" si="2"/>
        <v>0.4</v>
      </c>
      <c r="R18" s="166"/>
      <c r="S18" s="167"/>
      <c r="U18" s="9"/>
      <c r="V18" s="9"/>
    </row>
    <row r="19" spans="1:23" ht="12.75" customHeight="1" x14ac:dyDescent="0.2">
      <c r="A19" s="63" t="s">
        <v>7</v>
      </c>
      <c r="B19" s="64"/>
      <c r="C19" s="164" t="s">
        <v>53</v>
      </c>
      <c r="D19" s="164"/>
      <c r="E19" s="164"/>
      <c r="F19" s="164"/>
      <c r="G19" s="164"/>
      <c r="H19" s="164"/>
      <c r="I19" s="165"/>
      <c r="J19" s="121">
        <v>3</v>
      </c>
      <c r="K19" s="20"/>
      <c r="L19" s="45" t="s">
        <v>45</v>
      </c>
      <c r="M19" s="21"/>
      <c r="N19" s="40">
        <f t="shared" si="0"/>
        <v>1</v>
      </c>
      <c r="O19" s="41">
        <f t="shared" si="1"/>
        <v>1.5</v>
      </c>
      <c r="P19" s="41"/>
      <c r="Q19" s="166">
        <f t="shared" si="2"/>
        <v>0.3</v>
      </c>
      <c r="R19" s="166"/>
      <c r="S19" s="167"/>
      <c r="U19" s="9"/>
      <c r="V19" s="9"/>
    </row>
    <row r="20" spans="1:23" ht="12.75" customHeight="1" x14ac:dyDescent="0.2">
      <c r="A20" s="63" t="s">
        <v>8</v>
      </c>
      <c r="B20" s="64"/>
      <c r="C20" s="164" t="s">
        <v>54</v>
      </c>
      <c r="D20" s="164"/>
      <c r="E20" s="164"/>
      <c r="F20" s="164"/>
      <c r="G20" s="164"/>
      <c r="H20" s="164"/>
      <c r="I20" s="165"/>
      <c r="J20" s="121"/>
      <c r="K20" s="20"/>
      <c r="L20" s="45"/>
      <c r="M20" s="21"/>
      <c r="N20" s="40">
        <f t="shared" si="0"/>
        <v>0</v>
      </c>
      <c r="O20" s="41">
        <f t="shared" si="1"/>
        <v>0</v>
      </c>
      <c r="P20" s="41"/>
      <c r="Q20" s="166">
        <f t="shared" si="2"/>
        <v>0</v>
      </c>
      <c r="R20" s="166"/>
      <c r="S20" s="167"/>
      <c r="U20" s="9"/>
      <c r="V20" s="9"/>
    </row>
    <row r="21" spans="1:23" ht="12.75" customHeight="1" x14ac:dyDescent="0.2">
      <c r="A21" s="63" t="s">
        <v>9</v>
      </c>
      <c r="B21" s="64"/>
      <c r="C21" s="164" t="s">
        <v>55</v>
      </c>
      <c r="D21" s="164"/>
      <c r="E21" s="164"/>
      <c r="F21" s="164"/>
      <c r="G21" s="164"/>
      <c r="H21" s="164"/>
      <c r="I21" s="165"/>
      <c r="J21" s="121">
        <v>1</v>
      </c>
      <c r="K21" s="20"/>
      <c r="L21" s="45" t="s">
        <v>56</v>
      </c>
      <c r="M21" s="21"/>
      <c r="N21" s="40">
        <f t="shared" si="0"/>
        <v>0.33333333333333337</v>
      </c>
      <c r="O21" s="41">
        <f t="shared" si="1"/>
        <v>0.5</v>
      </c>
      <c r="P21" s="41"/>
      <c r="Q21" s="166">
        <f t="shared" si="2"/>
        <v>0.1</v>
      </c>
      <c r="R21" s="166"/>
      <c r="S21" s="167"/>
      <c r="U21" s="9"/>
      <c r="V21" s="9"/>
    </row>
    <row r="22" spans="1:23" ht="12.75" customHeight="1" x14ac:dyDescent="0.2">
      <c r="A22" s="63" t="s">
        <v>17</v>
      </c>
      <c r="B22" s="64"/>
      <c r="C22" s="164"/>
      <c r="D22" s="164"/>
      <c r="E22" s="164"/>
      <c r="F22" s="164"/>
      <c r="G22" s="164"/>
      <c r="H22" s="164"/>
      <c r="I22" s="165"/>
      <c r="J22" s="121"/>
      <c r="K22" s="20"/>
      <c r="L22" s="45"/>
      <c r="M22" s="21"/>
      <c r="N22" s="40" t="str">
        <f t="shared" si="0"/>
        <v xml:space="preserve"> </v>
      </c>
      <c r="O22" s="41" t="str">
        <f t="shared" si="1"/>
        <v xml:space="preserve"> </v>
      </c>
      <c r="P22" s="41"/>
      <c r="Q22" s="166" t="str">
        <f t="shared" si="2"/>
        <v xml:space="preserve"> </v>
      </c>
      <c r="R22" s="166"/>
      <c r="S22" s="167"/>
      <c r="U22" s="9"/>
      <c r="V22" s="9"/>
      <c r="W22" s="9"/>
    </row>
    <row r="23" spans="1:23" ht="12.75" customHeight="1" x14ac:dyDescent="0.2">
      <c r="A23" s="63" t="s">
        <v>18</v>
      </c>
      <c r="B23" s="64"/>
      <c r="C23" s="164"/>
      <c r="D23" s="164"/>
      <c r="E23" s="164"/>
      <c r="F23" s="164"/>
      <c r="G23" s="164"/>
      <c r="H23" s="164"/>
      <c r="I23" s="165"/>
      <c r="J23" s="121"/>
      <c r="K23" s="20"/>
      <c r="L23" s="45"/>
      <c r="M23" s="21"/>
      <c r="N23" s="40" t="str">
        <f t="shared" si="0"/>
        <v xml:space="preserve"> </v>
      </c>
      <c r="O23" s="41" t="str">
        <f t="shared" si="1"/>
        <v xml:space="preserve"> </v>
      </c>
      <c r="P23" s="41"/>
      <c r="Q23" s="166" t="str">
        <f t="shared" si="2"/>
        <v xml:space="preserve"> </v>
      </c>
      <c r="R23" s="166"/>
      <c r="S23" s="167"/>
      <c r="U23" s="9"/>
      <c r="V23" s="9"/>
    </row>
    <row r="24" spans="1:23" ht="12.75" customHeight="1" x14ac:dyDescent="0.2">
      <c r="A24" s="63" t="s">
        <v>19</v>
      </c>
      <c r="B24" s="64"/>
      <c r="C24" s="164"/>
      <c r="D24" s="164"/>
      <c r="E24" s="164"/>
      <c r="F24" s="164"/>
      <c r="G24" s="164"/>
      <c r="H24" s="164"/>
      <c r="I24" s="165"/>
      <c r="J24" s="121"/>
      <c r="K24" s="20"/>
      <c r="L24" s="45"/>
      <c r="M24" s="21"/>
      <c r="N24" s="40" t="str">
        <f t="shared" si="0"/>
        <v xml:space="preserve"> </v>
      </c>
      <c r="O24" s="41" t="str">
        <f t="shared" si="1"/>
        <v xml:space="preserve"> </v>
      </c>
      <c r="P24" s="41"/>
      <c r="Q24" s="166" t="str">
        <f t="shared" si="2"/>
        <v xml:space="preserve"> </v>
      </c>
      <c r="R24" s="166"/>
      <c r="S24" s="167"/>
      <c r="U24" s="9"/>
      <c r="V24" s="9"/>
    </row>
    <row r="25" spans="1:23" ht="12.75" customHeight="1" x14ac:dyDescent="0.2">
      <c r="A25" s="63" t="s">
        <v>20</v>
      </c>
      <c r="B25" s="64"/>
      <c r="C25" s="164"/>
      <c r="D25" s="164"/>
      <c r="E25" s="164"/>
      <c r="F25" s="164"/>
      <c r="G25" s="164"/>
      <c r="H25" s="164"/>
      <c r="I25" s="165"/>
      <c r="J25" s="121"/>
      <c r="K25" s="20"/>
      <c r="L25" s="45"/>
      <c r="M25" s="21"/>
      <c r="N25" s="40" t="str">
        <f t="shared" si="0"/>
        <v xml:space="preserve"> </v>
      </c>
      <c r="O25" s="41" t="str">
        <f t="shared" si="1"/>
        <v xml:space="preserve"> </v>
      </c>
      <c r="P25" s="41"/>
      <c r="Q25" s="166" t="str">
        <f t="shared" si="2"/>
        <v xml:space="preserve"> </v>
      </c>
      <c r="R25" s="166"/>
      <c r="S25" s="167"/>
      <c r="U25" s="9"/>
      <c r="V25" s="9"/>
    </row>
    <row r="26" spans="1:23" ht="12.75" customHeight="1" x14ac:dyDescent="0.2">
      <c r="A26" s="63" t="s">
        <v>21</v>
      </c>
      <c r="B26" s="64"/>
      <c r="C26" s="164"/>
      <c r="D26" s="164"/>
      <c r="E26" s="164"/>
      <c r="F26" s="164"/>
      <c r="G26" s="164"/>
      <c r="H26" s="164"/>
      <c r="I26" s="165"/>
      <c r="J26" s="121"/>
      <c r="K26" s="20"/>
      <c r="L26" s="45"/>
      <c r="M26" s="21"/>
      <c r="N26" s="40" t="str">
        <f t="shared" si="0"/>
        <v xml:space="preserve"> </v>
      </c>
      <c r="O26" s="41" t="str">
        <f t="shared" si="1"/>
        <v xml:space="preserve"> </v>
      </c>
      <c r="P26" s="41"/>
      <c r="Q26" s="166" t="str">
        <f t="shared" si="2"/>
        <v xml:space="preserve"> </v>
      </c>
      <c r="R26" s="166"/>
      <c r="S26" s="167"/>
    </row>
    <row r="27" spans="1:23" ht="12.75" customHeight="1" x14ac:dyDescent="0.2">
      <c r="A27" s="63" t="s">
        <v>22</v>
      </c>
      <c r="B27" s="64"/>
      <c r="C27" s="164"/>
      <c r="D27" s="164"/>
      <c r="E27" s="164"/>
      <c r="F27" s="164"/>
      <c r="G27" s="164"/>
      <c r="H27" s="164"/>
      <c r="I27" s="165"/>
      <c r="J27" s="121"/>
      <c r="K27" s="20"/>
      <c r="L27" s="45"/>
      <c r="M27" s="21"/>
      <c r="N27" s="40" t="str">
        <f t="shared" si="0"/>
        <v xml:space="preserve"> </v>
      </c>
      <c r="O27" s="41" t="str">
        <f t="shared" si="1"/>
        <v xml:space="preserve"> </v>
      </c>
      <c r="P27" s="41"/>
      <c r="Q27" s="166" t="str">
        <f t="shared" si="2"/>
        <v xml:space="preserve"> </v>
      </c>
      <c r="R27" s="166"/>
      <c r="S27" s="167"/>
    </row>
    <row r="28" spans="1:23" ht="12.75" customHeight="1" x14ac:dyDescent="0.2">
      <c r="A28" s="63" t="s">
        <v>23</v>
      </c>
      <c r="B28" s="64"/>
      <c r="C28" s="164"/>
      <c r="D28" s="164"/>
      <c r="E28" s="164"/>
      <c r="F28" s="164"/>
      <c r="G28" s="164"/>
      <c r="H28" s="164"/>
      <c r="I28" s="165"/>
      <c r="J28" s="121"/>
      <c r="K28" s="20"/>
      <c r="L28" s="45"/>
      <c r="M28" s="21"/>
      <c r="N28" s="40" t="str">
        <f t="shared" si="0"/>
        <v xml:space="preserve"> </v>
      </c>
      <c r="O28" s="41" t="str">
        <f t="shared" si="1"/>
        <v xml:space="preserve"> </v>
      </c>
      <c r="P28" s="41"/>
      <c r="Q28" s="166" t="str">
        <f t="shared" si="2"/>
        <v xml:space="preserve"> </v>
      </c>
      <c r="R28" s="166"/>
      <c r="S28" s="167"/>
    </row>
    <row r="29" spans="1:23" ht="12.75" customHeight="1" x14ac:dyDescent="0.2">
      <c r="A29" s="63" t="s">
        <v>24</v>
      </c>
      <c r="B29" s="64"/>
      <c r="C29" s="164"/>
      <c r="D29" s="164"/>
      <c r="E29" s="164"/>
      <c r="F29" s="164"/>
      <c r="G29" s="164"/>
      <c r="H29" s="164"/>
      <c r="I29" s="165"/>
      <c r="J29" s="121"/>
      <c r="K29" s="20"/>
      <c r="L29" s="45"/>
      <c r="M29" s="21"/>
      <c r="N29" s="40" t="str">
        <f t="shared" si="0"/>
        <v xml:space="preserve"> </v>
      </c>
      <c r="O29" s="41" t="str">
        <f t="shared" si="1"/>
        <v xml:space="preserve"> </v>
      </c>
      <c r="P29" s="41"/>
      <c r="Q29" s="166" t="str">
        <f t="shared" si="2"/>
        <v xml:space="preserve"> </v>
      </c>
      <c r="R29" s="166"/>
      <c r="S29" s="167"/>
    </row>
    <row r="30" spans="1:23" ht="12.75" customHeight="1" x14ac:dyDescent="0.2">
      <c r="A30" s="63" t="s">
        <v>25</v>
      </c>
      <c r="B30" s="64"/>
      <c r="C30" s="164"/>
      <c r="D30" s="164"/>
      <c r="E30" s="164"/>
      <c r="F30" s="164"/>
      <c r="G30" s="164"/>
      <c r="H30" s="164"/>
      <c r="I30" s="165"/>
      <c r="J30" s="121"/>
      <c r="K30" s="20"/>
      <c r="L30" s="45"/>
      <c r="M30" s="22"/>
      <c r="N30" s="40" t="str">
        <f t="shared" si="0"/>
        <v xml:space="preserve"> </v>
      </c>
      <c r="O30" s="41" t="str">
        <f t="shared" si="1"/>
        <v xml:space="preserve"> </v>
      </c>
      <c r="P30" s="41"/>
      <c r="Q30" s="166" t="str">
        <f t="shared" si="2"/>
        <v xml:space="preserve"> </v>
      </c>
      <c r="R30" s="166"/>
      <c r="S30" s="167"/>
    </row>
    <row r="31" spans="1:23" ht="12.75" customHeight="1" x14ac:dyDescent="0.2">
      <c r="A31" s="65" t="s">
        <v>26</v>
      </c>
      <c r="B31" s="66"/>
      <c r="C31" s="180"/>
      <c r="D31" s="180"/>
      <c r="E31" s="180"/>
      <c r="F31" s="180"/>
      <c r="G31" s="180"/>
      <c r="H31" s="180"/>
      <c r="I31" s="181"/>
      <c r="J31" s="121"/>
      <c r="K31" s="23"/>
      <c r="L31" s="45"/>
      <c r="M31" s="22"/>
      <c r="N31" s="55" t="str">
        <f t="shared" si="0"/>
        <v xml:space="preserve"> </v>
      </c>
      <c r="O31" s="56" t="str">
        <f t="shared" si="1"/>
        <v xml:space="preserve"> </v>
      </c>
      <c r="P31" s="56"/>
      <c r="Q31" s="171" t="str">
        <f t="shared" si="2"/>
        <v xml:space="preserve"> </v>
      </c>
      <c r="R31" s="171"/>
      <c r="S31" s="172"/>
    </row>
    <row r="32" spans="1:23" ht="3.75" customHeight="1" thickBot="1" x14ac:dyDescent="0.25">
      <c r="A32" s="42"/>
      <c r="B32" s="43"/>
      <c r="C32" s="24"/>
      <c r="D32" s="24"/>
      <c r="E32" s="24"/>
      <c r="F32" s="24"/>
      <c r="G32" s="24"/>
      <c r="H32" s="24"/>
      <c r="I32" s="24"/>
      <c r="J32" s="25"/>
      <c r="K32" s="26"/>
      <c r="L32" s="27"/>
      <c r="M32" s="27"/>
      <c r="N32" s="25"/>
      <c r="O32" s="25"/>
      <c r="P32" s="25"/>
      <c r="Q32" s="27"/>
      <c r="R32" s="27"/>
      <c r="S32" s="27"/>
    </row>
    <row r="33" spans="1:19" ht="14.25" customHeight="1" thickBot="1" x14ac:dyDescent="0.25">
      <c r="A33" s="194" t="s">
        <v>27</v>
      </c>
      <c r="B33" s="195"/>
      <c r="C33" s="195"/>
      <c r="D33" s="195"/>
      <c r="E33" s="195"/>
      <c r="F33" s="195"/>
      <c r="G33" s="195"/>
      <c r="H33" s="195"/>
      <c r="I33" s="196"/>
      <c r="J33" s="188">
        <v>150</v>
      </c>
      <c r="K33" s="189"/>
      <c r="L33" s="190"/>
      <c r="M33" s="54"/>
      <c r="N33" s="28"/>
      <c r="O33" s="15"/>
      <c r="P33" s="15"/>
      <c r="Q33" s="29"/>
      <c r="R33" s="29"/>
      <c r="S33" s="30"/>
    </row>
    <row r="34" spans="1:19" ht="2.25" customHeight="1" x14ac:dyDescent="0.2">
      <c r="A34" s="11"/>
      <c r="B34" s="11"/>
      <c r="C34" s="11"/>
      <c r="D34" s="11"/>
      <c r="E34" s="11"/>
      <c r="F34" s="11"/>
      <c r="G34" s="11"/>
      <c r="H34" s="9"/>
      <c r="I34" s="9"/>
      <c r="J34" s="9"/>
      <c r="K34" s="9"/>
      <c r="L34" s="9"/>
      <c r="M34" s="8"/>
      <c r="N34" s="8"/>
      <c r="O34" s="9"/>
      <c r="P34" s="9"/>
      <c r="Q34" s="9"/>
      <c r="R34" s="9"/>
      <c r="S34" s="9"/>
    </row>
    <row r="35" spans="1:19" ht="13.5" thickBot="1" x14ac:dyDescent="0.25"/>
    <row r="36" spans="1:19" ht="12" customHeight="1" x14ac:dyDescent="0.2">
      <c r="A36" s="168" t="s">
        <v>12</v>
      </c>
      <c r="B36" s="169"/>
      <c r="C36" s="169"/>
      <c r="D36" s="169"/>
      <c r="E36" s="169"/>
      <c r="F36" s="169"/>
      <c r="G36" s="169"/>
      <c r="H36" s="169"/>
      <c r="I36" s="169"/>
      <c r="J36" s="169"/>
      <c r="K36" s="169"/>
      <c r="L36" s="169"/>
      <c r="M36" s="169"/>
      <c r="N36" s="169"/>
      <c r="O36" s="169"/>
      <c r="P36" s="169"/>
      <c r="Q36" s="169"/>
      <c r="R36" s="169"/>
      <c r="S36" s="170"/>
    </row>
    <row r="37" spans="1:19" s="10" customFormat="1" ht="4.5" customHeight="1" x14ac:dyDescent="0.2">
      <c r="A37" s="177"/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s="178"/>
      <c r="N37" s="178"/>
      <c r="O37" s="178"/>
      <c r="P37" s="178"/>
      <c r="Q37" s="178"/>
      <c r="R37" s="178"/>
      <c r="S37" s="179"/>
    </row>
    <row r="38" spans="1:19" ht="11.45" customHeight="1" x14ac:dyDescent="0.2">
      <c r="A38" s="173" t="s">
        <v>57</v>
      </c>
      <c r="B38" s="174"/>
      <c r="C38" s="174"/>
      <c r="D38" s="174"/>
      <c r="E38" s="174"/>
      <c r="F38" s="174"/>
      <c r="G38" s="174"/>
      <c r="H38" s="174"/>
      <c r="I38" s="174"/>
      <c r="J38" s="174"/>
      <c r="K38" s="174"/>
      <c r="L38" s="174"/>
      <c r="M38" s="174"/>
      <c r="N38" s="174"/>
      <c r="O38" s="174"/>
      <c r="P38" s="174"/>
      <c r="Q38" s="174"/>
      <c r="R38" s="174"/>
      <c r="S38" s="175"/>
    </row>
    <row r="39" spans="1:19" ht="11.45" customHeight="1" x14ac:dyDescent="0.2">
      <c r="A39" s="134" t="s">
        <v>58</v>
      </c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6"/>
    </row>
    <row r="40" spans="1:19" ht="11.45" customHeight="1" x14ac:dyDescent="0.2">
      <c r="A40" s="134"/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6"/>
    </row>
    <row r="41" spans="1:19" ht="11.45" customHeight="1" x14ac:dyDescent="0.2">
      <c r="A41" s="134"/>
      <c r="B41" s="135"/>
      <c r="C41" s="135"/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6"/>
    </row>
    <row r="42" spans="1:19" ht="11.45" customHeight="1" x14ac:dyDescent="0.2">
      <c r="A42" s="134"/>
      <c r="B42" s="135"/>
      <c r="C42" s="135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6"/>
    </row>
    <row r="43" spans="1:19" ht="11.45" customHeight="1" x14ac:dyDescent="0.2">
      <c r="A43" s="134"/>
      <c r="B43" s="135"/>
      <c r="C43" s="135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6"/>
    </row>
    <row r="44" spans="1:19" ht="11.45" customHeight="1" x14ac:dyDescent="0.2">
      <c r="A44" s="134"/>
      <c r="B44" s="135"/>
      <c r="C44" s="135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6"/>
    </row>
    <row r="45" spans="1:19" ht="11.45" customHeight="1" x14ac:dyDescent="0.2">
      <c r="A45" s="134"/>
      <c r="B45" s="135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6"/>
    </row>
    <row r="46" spans="1:19" ht="11.45" customHeight="1" x14ac:dyDescent="0.2">
      <c r="A46" s="134"/>
      <c r="B46" s="135"/>
      <c r="C46" s="135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6"/>
    </row>
    <row r="47" spans="1:19" ht="11.45" customHeight="1" x14ac:dyDescent="0.2">
      <c r="A47" s="134"/>
      <c r="B47" s="135"/>
      <c r="C47" s="135"/>
      <c r="D47" s="135"/>
      <c r="E47" s="135"/>
      <c r="F47" s="135"/>
      <c r="G47" s="135"/>
      <c r="H47" s="135"/>
      <c r="I47" s="135"/>
      <c r="J47" s="135"/>
      <c r="K47" s="135"/>
      <c r="L47" s="145"/>
      <c r="M47" s="145"/>
      <c r="N47" s="145"/>
      <c r="O47" s="145"/>
      <c r="P47" s="145"/>
      <c r="Q47" s="145"/>
      <c r="R47" s="145"/>
      <c r="S47" s="182"/>
    </row>
    <row r="48" spans="1:19" ht="11.45" customHeight="1" thickBot="1" x14ac:dyDescent="0.25">
      <c r="A48" s="140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37" t="s">
        <v>29</v>
      </c>
      <c r="M48" s="138"/>
      <c r="N48" s="138"/>
      <c r="O48" s="138"/>
      <c r="P48" s="138"/>
      <c r="Q48" s="138"/>
      <c r="R48" s="138"/>
      <c r="S48" s="176"/>
    </row>
    <row r="49" spans="1:21" ht="5.25" customHeight="1" thickBot="1" x14ac:dyDescent="0.25">
      <c r="A49" s="12"/>
      <c r="B49" s="12"/>
      <c r="E49" s="12"/>
      <c r="F49" s="12"/>
      <c r="G49" s="12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spans="1:21" ht="12" customHeight="1" x14ac:dyDescent="0.2">
      <c r="A50" s="168" t="s">
        <v>13</v>
      </c>
      <c r="B50" s="169"/>
      <c r="C50" s="169"/>
      <c r="D50" s="169"/>
      <c r="E50" s="169"/>
      <c r="F50" s="169"/>
      <c r="G50" s="169"/>
      <c r="H50" s="169"/>
      <c r="I50" s="169"/>
      <c r="J50" s="169"/>
      <c r="K50" s="169"/>
      <c r="L50" s="169"/>
      <c r="M50" s="169"/>
      <c r="N50" s="169"/>
      <c r="O50" s="169"/>
      <c r="P50" s="169"/>
      <c r="Q50" s="169"/>
      <c r="R50" s="169"/>
      <c r="S50" s="170"/>
    </row>
    <row r="51" spans="1:21" s="10" customFormat="1" ht="4.5" customHeight="1" x14ac:dyDescent="0.2">
      <c r="A51" s="177"/>
      <c r="B51" s="178"/>
      <c r="C51" s="178"/>
      <c r="D51" s="178"/>
      <c r="E51" s="178"/>
      <c r="F51" s="178"/>
      <c r="G51" s="178"/>
      <c r="H51" s="178"/>
      <c r="I51" s="178"/>
      <c r="J51" s="178"/>
      <c r="K51" s="178"/>
      <c r="L51" s="178"/>
      <c r="M51" s="178"/>
      <c r="N51" s="178"/>
      <c r="O51" s="178"/>
      <c r="P51" s="178"/>
      <c r="Q51" s="178"/>
      <c r="R51" s="178"/>
      <c r="S51" s="179"/>
    </row>
    <row r="52" spans="1:21" ht="11.25" customHeight="1" x14ac:dyDescent="0.2">
      <c r="A52" s="173" t="s">
        <v>59</v>
      </c>
      <c r="B52" s="174"/>
      <c r="C52" s="174"/>
      <c r="D52" s="174"/>
      <c r="E52" s="174"/>
      <c r="F52" s="174"/>
      <c r="G52" s="174"/>
      <c r="H52" s="174"/>
      <c r="I52" s="174"/>
      <c r="J52" s="174"/>
      <c r="K52" s="174"/>
      <c r="L52" s="174"/>
      <c r="M52" s="174"/>
      <c r="N52" s="174"/>
      <c r="O52" s="174"/>
      <c r="P52" s="174"/>
      <c r="Q52" s="174"/>
      <c r="R52" s="174"/>
      <c r="S52" s="175"/>
    </row>
    <row r="53" spans="1:21" ht="13.5" thickBot="1" x14ac:dyDescent="0.25">
      <c r="A53" s="134"/>
      <c r="B53" s="135"/>
      <c r="C53" s="135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6"/>
    </row>
    <row r="54" spans="1:21" ht="11.25" customHeight="1" x14ac:dyDescent="0.2">
      <c r="A54" s="134"/>
      <c r="B54" s="135"/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52" t="str">
        <f>IF(Q1=0, " ", Q1)</f>
        <v>school</v>
      </c>
      <c r="S54" s="153"/>
    </row>
    <row r="55" spans="1:21" ht="11.25" customHeight="1" x14ac:dyDescent="0.2">
      <c r="A55" s="134"/>
      <c r="B55" s="135"/>
      <c r="C55" s="135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54"/>
      <c r="S55" s="155"/>
    </row>
    <row r="56" spans="1:21" ht="11.25" customHeight="1" thickBot="1" x14ac:dyDescent="0.25">
      <c r="A56" s="134"/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56"/>
      <c r="S56" s="157"/>
    </row>
    <row r="57" spans="1:21" ht="11.25" customHeight="1" x14ac:dyDescent="0.2">
      <c r="A57" s="134"/>
      <c r="B57" s="135"/>
      <c r="C57" s="135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58" t="str">
        <f>IF(Q2=0, " ", Q2)</f>
        <v>B5</v>
      </c>
      <c r="S57" s="159"/>
    </row>
    <row r="58" spans="1:21" ht="11.25" customHeight="1" x14ac:dyDescent="0.2">
      <c r="A58" s="142"/>
      <c r="B58" s="143"/>
      <c r="C58" s="143"/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143"/>
      <c r="Q58" s="144"/>
      <c r="R58" s="160"/>
      <c r="S58" s="161"/>
      <c r="T58" s="10"/>
      <c r="U58" s="10"/>
    </row>
    <row r="59" spans="1:21" ht="11.25" customHeight="1" x14ac:dyDescent="0.2">
      <c r="A59" s="134"/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45"/>
      <c r="M59" s="145"/>
      <c r="N59" s="145"/>
      <c r="O59" s="145"/>
      <c r="P59" s="145"/>
      <c r="Q59" s="145"/>
      <c r="R59" s="160"/>
      <c r="S59" s="161"/>
    </row>
    <row r="60" spans="1:21" ht="11.25" customHeight="1" thickBot="1" x14ac:dyDescent="0.25">
      <c r="A60" s="140"/>
      <c r="B60" s="141"/>
      <c r="C60" s="141"/>
      <c r="D60" s="141"/>
      <c r="E60" s="141"/>
      <c r="F60" s="141"/>
      <c r="G60" s="141"/>
      <c r="H60" s="141"/>
      <c r="I60" s="141"/>
      <c r="J60" s="141"/>
      <c r="K60" s="141"/>
      <c r="L60" s="137" t="s">
        <v>30</v>
      </c>
      <c r="M60" s="138"/>
      <c r="N60" s="138"/>
      <c r="O60" s="138"/>
      <c r="P60" s="138"/>
      <c r="Q60" s="139"/>
      <c r="R60" s="162"/>
      <c r="S60" s="163"/>
    </row>
    <row r="61" spans="1:21" ht="11.25" customHeight="1" x14ac:dyDescent="0.2"/>
  </sheetData>
  <sheetProtection sheet="1" objects="1" scenarios="1"/>
  <mergeCells count="89">
    <mergeCell ref="Q9:S9"/>
    <mergeCell ref="A33:I33"/>
    <mergeCell ref="C28:I28"/>
    <mergeCell ref="A11:I11"/>
    <mergeCell ref="Q18:S18"/>
    <mergeCell ref="C21:I21"/>
    <mergeCell ref="C23:I23"/>
    <mergeCell ref="Q23:S23"/>
    <mergeCell ref="A9:O9"/>
    <mergeCell ref="C16:I16"/>
    <mergeCell ref="C12:I12"/>
    <mergeCell ref="C13:I13"/>
    <mergeCell ref="C14:I14"/>
    <mergeCell ref="Q11:S11"/>
    <mergeCell ref="Q13:S13"/>
    <mergeCell ref="Q14:S14"/>
    <mergeCell ref="Q12:S12"/>
    <mergeCell ref="Q16:S16"/>
    <mergeCell ref="Q15:S15"/>
    <mergeCell ref="A47:S47"/>
    <mergeCell ref="A42:S42"/>
    <mergeCell ref="A43:S43"/>
    <mergeCell ref="A44:S44"/>
    <mergeCell ref="A45:S45"/>
    <mergeCell ref="A37:S37"/>
    <mergeCell ref="C24:I24"/>
    <mergeCell ref="Q24:S24"/>
    <mergeCell ref="C25:I25"/>
    <mergeCell ref="Q25:S25"/>
    <mergeCell ref="Q26:S26"/>
    <mergeCell ref="C31:I31"/>
    <mergeCell ref="C27:I27"/>
    <mergeCell ref="C26:I26"/>
    <mergeCell ref="J33:L33"/>
    <mergeCell ref="A52:S52"/>
    <mergeCell ref="A48:K48"/>
    <mergeCell ref="A50:S50"/>
    <mergeCell ref="L48:S48"/>
    <mergeCell ref="A51:S51"/>
    <mergeCell ref="A38:S38"/>
    <mergeCell ref="A39:S39"/>
    <mergeCell ref="A40:S40"/>
    <mergeCell ref="A41:S41"/>
    <mergeCell ref="A46:S46"/>
    <mergeCell ref="C15:I15"/>
    <mergeCell ref="C19:I19"/>
    <mergeCell ref="A36:S36"/>
    <mergeCell ref="Q30:S30"/>
    <mergeCell ref="Q31:S31"/>
    <mergeCell ref="Q29:S29"/>
    <mergeCell ref="C29:I29"/>
    <mergeCell ref="C30:I30"/>
    <mergeCell ref="Q21:S21"/>
    <mergeCell ref="C22:I22"/>
    <mergeCell ref="Q17:S17"/>
    <mergeCell ref="C17:I17"/>
    <mergeCell ref="C18:I18"/>
    <mergeCell ref="Q27:S27"/>
    <mergeCell ref="Q28:S28"/>
    <mergeCell ref="Q19:S19"/>
    <mergeCell ref="Q22:S22"/>
    <mergeCell ref="Q20:S20"/>
    <mergeCell ref="C20:I20"/>
    <mergeCell ref="A8:C8"/>
    <mergeCell ref="E8:O8"/>
    <mergeCell ref="Q7:S7"/>
    <mergeCell ref="Q8:S8"/>
    <mergeCell ref="D1:E1"/>
    <mergeCell ref="D2:E2"/>
    <mergeCell ref="Q1:S1"/>
    <mergeCell ref="Q2:S2"/>
    <mergeCell ref="Q4:S4"/>
    <mergeCell ref="A53:S53"/>
    <mergeCell ref="L60:Q60"/>
    <mergeCell ref="A60:K60"/>
    <mergeCell ref="A58:Q58"/>
    <mergeCell ref="A59:Q59"/>
    <mergeCell ref="A55:Q55"/>
    <mergeCell ref="A56:Q56"/>
    <mergeCell ref="A57:Q57"/>
    <mergeCell ref="R54:S56"/>
    <mergeCell ref="R57:S60"/>
    <mergeCell ref="A54:Q54"/>
    <mergeCell ref="A5:O5"/>
    <mergeCell ref="A6:O6"/>
    <mergeCell ref="E4:O4"/>
    <mergeCell ref="A4:C4"/>
    <mergeCell ref="G1:O1"/>
    <mergeCell ref="G2:O2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Header>&amp;L&amp;"Tahoma,Regular"&amp;14          &amp;D</oddHeader>
    <oddFooter>&amp;L&amp;"Tahoma,Regular"Concordia Language Villages, Food Service's recipe form (updated &amp;D).&amp;R&amp;"Tahoma,Regular"&amp;Yclv ts/s (10/2000)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K54"/>
  <sheetViews>
    <sheetView zoomScaleNormal="75" zoomScaleSheetLayoutView="100" workbookViewId="0">
      <selection activeCell="A17" sqref="A17:K17"/>
    </sheetView>
  </sheetViews>
  <sheetFormatPr defaultRowHeight="11.25" customHeight="1" x14ac:dyDescent="0.2"/>
  <cols>
    <col min="1" max="2" width="9.140625" style="7"/>
    <col min="3" max="3" width="10.28515625" style="7" customWidth="1"/>
    <col min="4" max="4" width="0.7109375" style="7" customWidth="1"/>
    <col min="5" max="5" width="9.140625" style="7"/>
    <col min="6" max="6" width="13.140625" style="7" customWidth="1"/>
    <col min="7" max="7" width="8.7109375" style="7" customWidth="1"/>
    <col min="8" max="8" width="9.140625" style="7"/>
    <col min="9" max="9" width="0.7109375" style="7" customWidth="1"/>
    <col min="10" max="10" width="10.42578125" style="7" customWidth="1"/>
    <col min="11" max="16384" width="9.140625" style="7"/>
  </cols>
  <sheetData>
    <row r="1" spans="1:11" ht="15" customHeight="1" x14ac:dyDescent="0.2">
      <c r="A1" s="222" t="s">
        <v>32</v>
      </c>
      <c r="B1" s="223"/>
      <c r="C1" s="223"/>
      <c r="D1" s="36"/>
      <c r="E1" s="225" t="str">
        <f>IF(('recipe form'!G1)=0," ",'recipe form'!G1)</f>
        <v>Beef Stroganoff</v>
      </c>
      <c r="F1" s="225"/>
      <c r="G1" s="225"/>
      <c r="H1" s="225"/>
      <c r="I1" s="37"/>
      <c r="J1" s="35" t="str">
        <f>IF('recipe form'!Q1=0, " ",'recipe form'!Q1)</f>
        <v>school</v>
      </c>
      <c r="K1" s="35" t="str">
        <f>IF('recipe form'!Q2=0, " ",'recipe form'!Q2)</f>
        <v>B5</v>
      </c>
    </row>
    <row r="2" spans="1:11" s="10" customFormat="1" ht="5.25" customHeight="1" x14ac:dyDescent="0.2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</row>
    <row r="3" spans="1:11" ht="11.25" customHeight="1" x14ac:dyDescent="0.2">
      <c r="A3" s="219"/>
      <c r="B3" s="220"/>
      <c r="C3" s="220"/>
      <c r="D3" s="220"/>
      <c r="E3" s="220"/>
      <c r="F3" s="220"/>
      <c r="G3" s="220"/>
      <c r="H3" s="220"/>
      <c r="I3" s="220"/>
      <c r="J3" s="220"/>
      <c r="K3" s="221"/>
    </row>
    <row r="4" spans="1:11" ht="11.25" customHeight="1" x14ac:dyDescent="0.2">
      <c r="A4" s="213" t="str">
        <f>IF('recipe form'!A39=0, " ",'recipe form'!A39)</f>
        <v>meat is tender, at least 2 hours.  Taste &amp; adjust seasonings. Serve over rice, noodles or potatoes.</v>
      </c>
      <c r="B4" s="214"/>
      <c r="C4" s="214"/>
      <c r="D4" s="214"/>
      <c r="E4" s="214"/>
      <c r="F4" s="214"/>
      <c r="G4" s="214"/>
      <c r="H4" s="214"/>
      <c r="I4" s="214"/>
      <c r="J4" s="214"/>
      <c r="K4" s="215"/>
    </row>
    <row r="5" spans="1:11" ht="11.25" customHeight="1" x14ac:dyDescent="0.2">
      <c r="A5" s="213" t="str">
        <f>IF('recipe form'!A40=0, " ",'recipe form'!A40)</f>
        <v xml:space="preserve"> </v>
      </c>
      <c r="B5" s="214"/>
      <c r="C5" s="214"/>
      <c r="D5" s="214"/>
      <c r="E5" s="214"/>
      <c r="F5" s="214"/>
      <c r="G5" s="214"/>
      <c r="H5" s="214"/>
      <c r="I5" s="214"/>
      <c r="J5" s="214"/>
      <c r="K5" s="215"/>
    </row>
    <row r="6" spans="1:11" ht="11.25" customHeight="1" x14ac:dyDescent="0.2">
      <c r="A6" s="213" t="str">
        <f>IF('recipe form'!A41=0, " ",'recipe form'!A41)</f>
        <v xml:space="preserve"> </v>
      </c>
      <c r="B6" s="214"/>
      <c r="C6" s="214"/>
      <c r="D6" s="214"/>
      <c r="E6" s="214"/>
      <c r="F6" s="214"/>
      <c r="G6" s="214"/>
      <c r="H6" s="214"/>
      <c r="I6" s="214"/>
      <c r="J6" s="214"/>
      <c r="K6" s="215"/>
    </row>
    <row r="7" spans="1:11" ht="11.25" customHeight="1" x14ac:dyDescent="0.2">
      <c r="A7" s="213" t="str">
        <f>IF('recipe form'!A42=0, " ",'recipe form'!A42)</f>
        <v xml:space="preserve"> </v>
      </c>
      <c r="B7" s="214"/>
      <c r="C7" s="214"/>
      <c r="D7" s="214"/>
      <c r="E7" s="214"/>
      <c r="F7" s="214"/>
      <c r="G7" s="214"/>
      <c r="H7" s="214"/>
      <c r="I7" s="214"/>
      <c r="J7" s="214"/>
      <c r="K7" s="215"/>
    </row>
    <row r="8" spans="1:11" ht="11.25" customHeight="1" x14ac:dyDescent="0.2">
      <c r="A8" s="213" t="str">
        <f>IF('recipe form'!A43=0, " ",'recipe form'!A43)</f>
        <v xml:space="preserve"> </v>
      </c>
      <c r="B8" s="214"/>
      <c r="C8" s="214"/>
      <c r="D8" s="214"/>
      <c r="E8" s="214"/>
      <c r="F8" s="214"/>
      <c r="G8" s="214"/>
      <c r="H8" s="214"/>
      <c r="I8" s="214"/>
      <c r="J8" s="214"/>
      <c r="K8" s="215"/>
    </row>
    <row r="9" spans="1:11" ht="11.25" customHeight="1" x14ac:dyDescent="0.2">
      <c r="A9" s="213" t="str">
        <f>IF('recipe form'!A44=0, " ",'recipe form'!A44)</f>
        <v xml:space="preserve"> </v>
      </c>
      <c r="B9" s="214"/>
      <c r="C9" s="214"/>
      <c r="D9" s="214"/>
      <c r="E9" s="214"/>
      <c r="F9" s="214"/>
      <c r="G9" s="214"/>
      <c r="H9" s="214"/>
      <c r="I9" s="214"/>
      <c r="J9" s="214"/>
      <c r="K9" s="215"/>
    </row>
    <row r="10" spans="1:11" ht="11.25" customHeight="1" x14ac:dyDescent="0.2">
      <c r="A10" s="213" t="str">
        <f>IF('recipe form'!A45=0, " ",'recipe form'!A45)</f>
        <v xml:space="preserve"> </v>
      </c>
      <c r="B10" s="214"/>
      <c r="C10" s="214"/>
      <c r="D10" s="214"/>
      <c r="E10" s="214"/>
      <c r="F10" s="214"/>
      <c r="G10" s="214"/>
      <c r="H10" s="214"/>
      <c r="I10" s="214"/>
      <c r="J10" s="214"/>
      <c r="K10" s="215"/>
    </row>
    <row r="11" spans="1:11" ht="11.25" customHeight="1" x14ac:dyDescent="0.2">
      <c r="A11" s="213" t="str">
        <f>IF('recipe form'!A46=0, " ",'recipe form'!A46)</f>
        <v xml:space="preserve"> </v>
      </c>
      <c r="B11" s="214"/>
      <c r="C11" s="214"/>
      <c r="D11" s="214"/>
      <c r="E11" s="214"/>
      <c r="F11" s="214"/>
      <c r="G11" s="214"/>
      <c r="H11" s="214"/>
      <c r="I11" s="214"/>
      <c r="J11" s="214"/>
      <c r="K11" s="215"/>
    </row>
    <row r="12" spans="1:11" ht="11.25" customHeight="1" x14ac:dyDescent="0.2">
      <c r="A12" s="213" t="str">
        <f>IF('recipe form'!A47=0, " ",'recipe form'!A47)</f>
        <v xml:space="preserve"> </v>
      </c>
      <c r="B12" s="214"/>
      <c r="C12" s="214"/>
      <c r="D12" s="214"/>
      <c r="E12" s="214"/>
      <c r="F12" s="214"/>
      <c r="G12" s="214"/>
      <c r="H12" s="214"/>
      <c r="I12" s="214"/>
      <c r="J12" s="214"/>
      <c r="K12" s="215"/>
    </row>
    <row r="13" spans="1:11" ht="11.25" customHeight="1" x14ac:dyDescent="0.2">
      <c r="A13" s="216" t="str">
        <f>IF('recipe form'!A48:K48=0, " ",'recipe form'!A48:K48)</f>
        <v xml:space="preserve"> </v>
      </c>
      <c r="B13" s="217"/>
      <c r="C13" s="217"/>
      <c r="D13" s="217"/>
      <c r="E13" s="217"/>
      <c r="F13" s="217"/>
      <c r="G13" s="217"/>
      <c r="H13" s="217"/>
      <c r="I13" s="217"/>
      <c r="J13" s="217"/>
      <c r="K13" s="218"/>
    </row>
    <row r="14" spans="1:11" ht="4.5" customHeight="1" x14ac:dyDescent="0.2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spans="1:11" ht="15" customHeight="1" x14ac:dyDescent="0.2">
      <c r="A15" s="222" t="s">
        <v>33</v>
      </c>
      <c r="B15" s="223"/>
      <c r="C15" s="223"/>
      <c r="D15" s="223"/>
      <c r="E15" s="223"/>
      <c r="F15" s="223"/>
      <c r="G15" s="223"/>
      <c r="H15" s="223"/>
      <c r="I15" s="223"/>
      <c r="J15" s="223"/>
      <c r="K15" s="224"/>
    </row>
    <row r="16" spans="1:11" s="9" customFormat="1" ht="4.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</row>
    <row r="17" spans="1:11" ht="12.75" x14ac:dyDescent="0.2">
      <c r="A17" s="210"/>
      <c r="B17" s="211"/>
      <c r="C17" s="211"/>
      <c r="D17" s="211"/>
      <c r="E17" s="211"/>
      <c r="F17" s="211"/>
      <c r="G17" s="211"/>
      <c r="H17" s="211"/>
      <c r="I17" s="211"/>
      <c r="J17" s="211"/>
      <c r="K17" s="212"/>
    </row>
    <row r="18" spans="1:11" ht="12.75" x14ac:dyDescent="0.2">
      <c r="A18" s="205"/>
      <c r="B18" s="123"/>
      <c r="C18" s="123"/>
      <c r="D18" s="123"/>
      <c r="E18" s="123"/>
      <c r="F18" s="123"/>
      <c r="G18" s="123"/>
      <c r="H18" s="123"/>
      <c r="I18" s="123"/>
      <c r="J18" s="123"/>
      <c r="K18" s="206"/>
    </row>
    <row r="19" spans="1:11" ht="12.75" x14ac:dyDescent="0.2">
      <c r="A19" s="205"/>
      <c r="B19" s="123"/>
      <c r="C19" s="123"/>
      <c r="D19" s="123"/>
      <c r="E19" s="123"/>
      <c r="F19" s="123"/>
      <c r="G19" s="123"/>
      <c r="H19" s="123"/>
      <c r="I19" s="123"/>
      <c r="J19" s="123"/>
      <c r="K19" s="206"/>
    </row>
    <row r="20" spans="1:11" ht="12.75" x14ac:dyDescent="0.2">
      <c r="A20" s="205"/>
      <c r="B20" s="123"/>
      <c r="C20" s="123"/>
      <c r="D20" s="123"/>
      <c r="E20" s="123"/>
      <c r="F20" s="123"/>
      <c r="G20" s="123"/>
      <c r="H20" s="123"/>
      <c r="I20" s="123"/>
      <c r="J20" s="123"/>
      <c r="K20" s="206"/>
    </row>
    <row r="21" spans="1:11" ht="12.75" x14ac:dyDescent="0.2">
      <c r="A21" s="205"/>
      <c r="B21" s="123"/>
      <c r="C21" s="123"/>
      <c r="D21" s="123"/>
      <c r="E21" s="123"/>
      <c r="F21" s="123"/>
      <c r="G21" s="123"/>
      <c r="H21" s="123"/>
      <c r="I21" s="123"/>
      <c r="J21" s="123"/>
      <c r="K21" s="206"/>
    </row>
    <row r="22" spans="1:11" ht="12.75" x14ac:dyDescent="0.2">
      <c r="A22" s="205"/>
      <c r="B22" s="123"/>
      <c r="C22" s="123"/>
      <c r="D22" s="123"/>
      <c r="E22" s="123"/>
      <c r="F22" s="123"/>
      <c r="G22" s="123"/>
      <c r="H22" s="123"/>
      <c r="I22" s="123"/>
      <c r="J22" s="123"/>
      <c r="K22" s="206"/>
    </row>
    <row r="23" spans="1:11" ht="12.75" x14ac:dyDescent="0.2">
      <c r="A23" s="205"/>
      <c r="B23" s="123"/>
      <c r="C23" s="123"/>
      <c r="D23" s="123"/>
      <c r="E23" s="123"/>
      <c r="F23" s="123"/>
      <c r="G23" s="123"/>
      <c r="H23" s="123"/>
      <c r="I23" s="123"/>
      <c r="J23" s="123"/>
      <c r="K23" s="206"/>
    </row>
    <row r="24" spans="1:11" ht="12.75" x14ac:dyDescent="0.2">
      <c r="A24" s="205"/>
      <c r="B24" s="123"/>
      <c r="C24" s="123"/>
      <c r="D24" s="123"/>
      <c r="E24" s="123"/>
      <c r="F24" s="123"/>
      <c r="G24" s="123"/>
      <c r="H24" s="123"/>
      <c r="I24" s="123"/>
      <c r="J24" s="123"/>
      <c r="K24" s="206"/>
    </row>
    <row r="25" spans="1:11" ht="12.75" x14ac:dyDescent="0.2">
      <c r="A25" s="205"/>
      <c r="B25" s="123"/>
      <c r="C25" s="123"/>
      <c r="D25" s="123"/>
      <c r="E25" s="123"/>
      <c r="F25" s="123"/>
      <c r="G25" s="123"/>
      <c r="H25" s="123"/>
      <c r="I25" s="123"/>
      <c r="J25" s="123"/>
      <c r="K25" s="206"/>
    </row>
    <row r="26" spans="1:11" ht="12.75" x14ac:dyDescent="0.2">
      <c r="A26" s="205"/>
      <c r="B26" s="123"/>
      <c r="C26" s="123"/>
      <c r="D26" s="123"/>
      <c r="E26" s="123"/>
      <c r="F26" s="123"/>
      <c r="G26" s="123"/>
      <c r="H26" s="123"/>
      <c r="I26" s="123"/>
      <c r="J26" s="123"/>
      <c r="K26" s="206"/>
    </row>
    <row r="27" spans="1:11" ht="12.75" x14ac:dyDescent="0.2">
      <c r="A27" s="205"/>
      <c r="B27" s="123"/>
      <c r="C27" s="123"/>
      <c r="D27" s="123"/>
      <c r="E27" s="123"/>
      <c r="F27" s="123"/>
      <c r="G27" s="123"/>
      <c r="H27" s="123"/>
      <c r="I27" s="123"/>
      <c r="J27" s="123"/>
      <c r="K27" s="206"/>
    </row>
    <row r="28" spans="1:11" ht="12.75" x14ac:dyDescent="0.2">
      <c r="A28" s="205"/>
      <c r="B28" s="123"/>
      <c r="C28" s="123"/>
      <c r="D28" s="123"/>
      <c r="E28" s="123"/>
      <c r="F28" s="123"/>
      <c r="G28" s="123"/>
      <c r="H28" s="123"/>
      <c r="I28" s="123"/>
      <c r="J28" s="123"/>
      <c r="K28" s="206"/>
    </row>
    <row r="29" spans="1:11" ht="12.75" x14ac:dyDescent="0.2">
      <c r="A29" s="205"/>
      <c r="B29" s="123"/>
      <c r="C29" s="123"/>
      <c r="D29" s="123"/>
      <c r="E29" s="123"/>
      <c r="F29" s="123"/>
      <c r="G29" s="123"/>
      <c r="H29" s="123"/>
      <c r="I29" s="123"/>
      <c r="J29" s="123"/>
      <c r="K29" s="206"/>
    </row>
    <row r="30" spans="1:11" ht="12.75" x14ac:dyDescent="0.2">
      <c r="A30" s="205"/>
      <c r="B30" s="123"/>
      <c r="C30" s="123"/>
      <c r="D30" s="123"/>
      <c r="E30" s="123"/>
      <c r="F30" s="123"/>
      <c r="G30" s="123"/>
      <c r="H30" s="123"/>
      <c r="I30" s="123"/>
      <c r="J30" s="123"/>
      <c r="K30" s="206"/>
    </row>
    <row r="31" spans="1:11" ht="12.75" x14ac:dyDescent="0.2">
      <c r="A31" s="205"/>
      <c r="B31" s="123"/>
      <c r="C31" s="123"/>
      <c r="D31" s="123"/>
      <c r="E31" s="123"/>
      <c r="F31" s="123"/>
      <c r="G31" s="123"/>
      <c r="H31" s="123"/>
      <c r="I31" s="123"/>
      <c r="J31" s="123"/>
      <c r="K31" s="206"/>
    </row>
    <row r="32" spans="1:11" ht="12.75" x14ac:dyDescent="0.2">
      <c r="A32" s="205"/>
      <c r="B32" s="123"/>
      <c r="C32" s="123"/>
      <c r="D32" s="123"/>
      <c r="E32" s="123"/>
      <c r="F32" s="123"/>
      <c r="G32" s="123"/>
      <c r="H32" s="123"/>
      <c r="I32" s="123"/>
      <c r="J32" s="123"/>
      <c r="K32" s="206"/>
    </row>
    <row r="33" spans="1:11" ht="12.75" x14ac:dyDescent="0.2">
      <c r="A33" s="205"/>
      <c r="B33" s="123"/>
      <c r="C33" s="123"/>
      <c r="D33" s="123"/>
      <c r="E33" s="123"/>
      <c r="F33" s="123"/>
      <c r="G33" s="123"/>
      <c r="H33" s="123"/>
      <c r="I33" s="123"/>
      <c r="J33" s="123"/>
      <c r="K33" s="206"/>
    </row>
    <row r="34" spans="1:11" ht="12.75" x14ac:dyDescent="0.2">
      <c r="A34" s="205"/>
      <c r="B34" s="123"/>
      <c r="C34" s="123"/>
      <c r="D34" s="123"/>
      <c r="E34" s="123"/>
      <c r="F34" s="123"/>
      <c r="G34" s="123"/>
      <c r="H34" s="123"/>
      <c r="I34" s="123"/>
      <c r="J34" s="123"/>
      <c r="K34" s="206"/>
    </row>
    <row r="35" spans="1:11" ht="12.75" x14ac:dyDescent="0.2">
      <c r="A35" s="205"/>
      <c r="B35" s="123"/>
      <c r="C35" s="123"/>
      <c r="D35" s="123"/>
      <c r="E35" s="123"/>
      <c r="F35" s="123"/>
      <c r="G35" s="123"/>
      <c r="H35" s="123"/>
      <c r="I35" s="123"/>
      <c r="J35" s="123"/>
      <c r="K35" s="206"/>
    </row>
    <row r="36" spans="1:11" ht="12.75" x14ac:dyDescent="0.2">
      <c r="A36" s="205"/>
      <c r="B36" s="123"/>
      <c r="C36" s="123"/>
      <c r="D36" s="123"/>
      <c r="E36" s="123"/>
      <c r="F36" s="123"/>
      <c r="G36" s="123"/>
      <c r="H36" s="123"/>
      <c r="I36" s="123"/>
      <c r="J36" s="123"/>
      <c r="K36" s="206"/>
    </row>
    <row r="37" spans="1:11" ht="12.75" x14ac:dyDescent="0.2">
      <c r="A37" s="205"/>
      <c r="B37" s="123"/>
      <c r="C37" s="123"/>
      <c r="D37" s="123"/>
      <c r="E37" s="123"/>
      <c r="F37" s="123"/>
      <c r="G37" s="123"/>
      <c r="H37" s="123"/>
      <c r="I37" s="123"/>
      <c r="J37" s="123"/>
      <c r="K37" s="206"/>
    </row>
    <row r="38" spans="1:11" ht="12.75" x14ac:dyDescent="0.2">
      <c r="A38" s="205"/>
      <c r="B38" s="123"/>
      <c r="C38" s="123"/>
      <c r="D38" s="123"/>
      <c r="E38" s="123"/>
      <c r="F38" s="123"/>
      <c r="G38" s="123"/>
      <c r="H38" s="123"/>
      <c r="I38" s="123"/>
      <c r="J38" s="123"/>
      <c r="K38" s="206"/>
    </row>
    <row r="39" spans="1:11" ht="12.75" x14ac:dyDescent="0.2">
      <c r="A39" s="205"/>
      <c r="B39" s="123"/>
      <c r="C39" s="123"/>
      <c r="D39" s="123"/>
      <c r="E39" s="123"/>
      <c r="F39" s="123"/>
      <c r="G39" s="123"/>
      <c r="H39" s="123"/>
      <c r="I39" s="123"/>
      <c r="J39" s="123"/>
      <c r="K39" s="206"/>
    </row>
    <row r="40" spans="1:11" ht="12.75" x14ac:dyDescent="0.2">
      <c r="A40" s="205"/>
      <c r="B40" s="123"/>
      <c r="C40" s="123"/>
      <c r="D40" s="123"/>
      <c r="E40" s="123"/>
      <c r="F40" s="123"/>
      <c r="G40" s="123"/>
      <c r="H40" s="123"/>
      <c r="I40" s="123"/>
      <c r="J40" s="123"/>
      <c r="K40" s="206"/>
    </row>
    <row r="41" spans="1:11" ht="12.75" x14ac:dyDescent="0.2">
      <c r="A41" s="205"/>
      <c r="B41" s="123"/>
      <c r="C41" s="123"/>
      <c r="D41" s="123"/>
      <c r="E41" s="123"/>
      <c r="F41" s="123"/>
      <c r="G41" s="123"/>
      <c r="H41" s="123"/>
      <c r="I41" s="123"/>
      <c r="J41" s="123"/>
      <c r="K41" s="206"/>
    </row>
    <row r="42" spans="1:11" ht="12.75" x14ac:dyDescent="0.2">
      <c r="A42" s="205"/>
      <c r="B42" s="123"/>
      <c r="C42" s="123"/>
      <c r="D42" s="123"/>
      <c r="E42" s="123"/>
      <c r="F42" s="123"/>
      <c r="G42" s="123"/>
      <c r="H42" s="123"/>
      <c r="I42" s="123"/>
      <c r="J42" s="123"/>
      <c r="K42" s="206"/>
    </row>
    <row r="43" spans="1:11" ht="12.75" x14ac:dyDescent="0.2">
      <c r="A43" s="205"/>
      <c r="B43" s="123"/>
      <c r="C43" s="123"/>
      <c r="D43" s="123"/>
      <c r="E43" s="123"/>
      <c r="F43" s="123"/>
      <c r="G43" s="123"/>
      <c r="H43" s="123"/>
      <c r="I43" s="123"/>
      <c r="J43" s="123"/>
      <c r="K43" s="206"/>
    </row>
    <row r="44" spans="1:11" ht="12.75" x14ac:dyDescent="0.2">
      <c r="A44" s="205"/>
      <c r="B44" s="123"/>
      <c r="C44" s="123"/>
      <c r="D44" s="123"/>
      <c r="E44" s="123"/>
      <c r="F44" s="123"/>
      <c r="G44" s="123"/>
      <c r="H44" s="123"/>
      <c r="I44" s="123"/>
      <c r="J44" s="123"/>
      <c r="K44" s="206"/>
    </row>
    <row r="45" spans="1:11" ht="12.75" x14ac:dyDescent="0.2">
      <c r="A45" s="205"/>
      <c r="B45" s="123"/>
      <c r="C45" s="123"/>
      <c r="D45" s="123"/>
      <c r="E45" s="123"/>
      <c r="F45" s="123"/>
      <c r="G45" s="123"/>
      <c r="H45" s="123"/>
      <c r="I45" s="123"/>
      <c r="J45" s="123"/>
      <c r="K45" s="206"/>
    </row>
    <row r="46" spans="1:11" ht="12.75" x14ac:dyDescent="0.2">
      <c r="A46" s="205"/>
      <c r="B46" s="123"/>
      <c r="C46" s="123"/>
      <c r="D46" s="123"/>
      <c r="E46" s="123"/>
      <c r="F46" s="123"/>
      <c r="G46" s="123"/>
      <c r="H46" s="123"/>
      <c r="I46" s="123"/>
      <c r="J46" s="123"/>
      <c r="K46" s="206"/>
    </row>
    <row r="47" spans="1:11" ht="12.75" x14ac:dyDescent="0.2">
      <c r="A47" s="205"/>
      <c r="B47" s="123"/>
      <c r="C47" s="123"/>
      <c r="D47" s="123"/>
      <c r="E47" s="123"/>
      <c r="F47" s="123"/>
      <c r="G47" s="123"/>
      <c r="H47" s="123"/>
      <c r="I47" s="123"/>
      <c r="J47" s="123"/>
      <c r="K47" s="206"/>
    </row>
    <row r="48" spans="1:11" ht="12.75" x14ac:dyDescent="0.2">
      <c r="A48" s="205"/>
      <c r="B48" s="123"/>
      <c r="C48" s="123"/>
      <c r="D48" s="123"/>
      <c r="E48" s="123"/>
      <c r="F48" s="123"/>
      <c r="G48" s="123"/>
      <c r="H48" s="123"/>
      <c r="I48" s="123"/>
      <c r="J48" s="123"/>
      <c r="K48" s="206"/>
    </row>
    <row r="49" spans="1:11" ht="12.75" x14ac:dyDescent="0.2">
      <c r="A49" s="205"/>
      <c r="B49" s="123"/>
      <c r="C49" s="123"/>
      <c r="D49" s="123"/>
      <c r="E49" s="123"/>
      <c r="F49" s="123"/>
      <c r="G49" s="123"/>
      <c r="H49" s="123"/>
      <c r="I49" s="123"/>
      <c r="J49" s="123"/>
      <c r="K49" s="206"/>
    </row>
    <row r="50" spans="1:11" ht="12.75" x14ac:dyDescent="0.2">
      <c r="A50" s="205"/>
      <c r="B50" s="123"/>
      <c r="C50" s="123"/>
      <c r="D50" s="123"/>
      <c r="E50" s="123"/>
      <c r="F50" s="123"/>
      <c r="G50" s="123"/>
      <c r="H50" s="123"/>
      <c r="I50" s="123"/>
      <c r="J50" s="123"/>
      <c r="K50" s="206"/>
    </row>
    <row r="51" spans="1:11" ht="12.75" x14ac:dyDescent="0.2">
      <c r="A51" s="205"/>
      <c r="B51" s="123"/>
      <c r="C51" s="123"/>
      <c r="D51" s="123"/>
      <c r="E51" s="123"/>
      <c r="F51" s="123"/>
      <c r="G51" s="123"/>
      <c r="H51" s="123"/>
      <c r="I51" s="123"/>
      <c r="J51" s="123"/>
      <c r="K51" s="206"/>
    </row>
    <row r="52" spans="1:11" ht="11.25" customHeight="1" x14ac:dyDescent="0.2">
      <c r="A52" s="205"/>
      <c r="B52" s="123"/>
      <c r="C52" s="123"/>
      <c r="D52" s="123"/>
      <c r="E52" s="123"/>
      <c r="F52" s="123"/>
      <c r="G52" s="123"/>
      <c r="H52" s="123"/>
      <c r="I52" s="123"/>
      <c r="J52" s="123"/>
      <c r="K52" s="206"/>
    </row>
    <row r="53" spans="1:11" ht="11.25" customHeight="1" x14ac:dyDescent="0.2">
      <c r="A53" s="205"/>
      <c r="B53" s="123"/>
      <c r="C53" s="123"/>
      <c r="D53" s="123"/>
      <c r="E53" s="123"/>
      <c r="F53" s="123"/>
      <c r="G53" s="123"/>
      <c r="H53" s="123"/>
      <c r="I53" s="123"/>
      <c r="J53" s="123"/>
      <c r="K53" s="206"/>
    </row>
    <row r="54" spans="1:11" ht="11.25" customHeight="1" x14ac:dyDescent="0.2">
      <c r="A54" s="207"/>
      <c r="B54" s="208"/>
      <c r="C54" s="208"/>
      <c r="D54" s="208"/>
      <c r="E54" s="208"/>
      <c r="F54" s="208"/>
      <c r="G54" s="208"/>
      <c r="H54" s="208"/>
      <c r="I54" s="208"/>
      <c r="J54" s="208"/>
      <c r="K54" s="209"/>
    </row>
  </sheetData>
  <sheetProtection sheet="1" objects="1" scenarios="1"/>
  <mergeCells count="52">
    <mergeCell ref="A1:C1"/>
    <mergeCell ref="E1:H1"/>
    <mergeCell ref="A6:K6"/>
    <mergeCell ref="A7:K7"/>
    <mergeCell ref="A8:K8"/>
    <mergeCell ref="A9:K9"/>
    <mergeCell ref="A3:K3"/>
    <mergeCell ref="A4:K4"/>
    <mergeCell ref="A5:K5"/>
    <mergeCell ref="A15:K15"/>
    <mergeCell ref="A17:K17"/>
    <mergeCell ref="A18:K18"/>
    <mergeCell ref="A19:K19"/>
    <mergeCell ref="A10:K10"/>
    <mergeCell ref="A11:K11"/>
    <mergeCell ref="A12:K12"/>
    <mergeCell ref="A13:K13"/>
    <mergeCell ref="A24:K24"/>
    <mergeCell ref="A25:K25"/>
    <mergeCell ref="A26:K26"/>
    <mergeCell ref="A27:K27"/>
    <mergeCell ref="A20:K20"/>
    <mergeCell ref="A21:K21"/>
    <mergeCell ref="A22:K22"/>
    <mergeCell ref="A23:K23"/>
    <mergeCell ref="A32:K32"/>
    <mergeCell ref="A33:K33"/>
    <mergeCell ref="A34:K34"/>
    <mergeCell ref="A35:K35"/>
    <mergeCell ref="A28:K28"/>
    <mergeCell ref="A29:K29"/>
    <mergeCell ref="A30:K30"/>
    <mergeCell ref="A31:K31"/>
    <mergeCell ref="A39:K39"/>
    <mergeCell ref="A40:K40"/>
    <mergeCell ref="A41:K41"/>
    <mergeCell ref="A36:K36"/>
    <mergeCell ref="A37:K37"/>
    <mergeCell ref="A38:K38"/>
    <mergeCell ref="A45:K45"/>
    <mergeCell ref="A46:K46"/>
    <mergeCell ref="A47:K47"/>
    <mergeCell ref="A48:K48"/>
    <mergeCell ref="A42:K42"/>
    <mergeCell ref="A43:K43"/>
    <mergeCell ref="A44:K44"/>
    <mergeCell ref="A53:K53"/>
    <mergeCell ref="A54:K54"/>
    <mergeCell ref="A49:K49"/>
    <mergeCell ref="A50:K50"/>
    <mergeCell ref="A51:K51"/>
    <mergeCell ref="A52:K52"/>
  </mergeCells>
  <phoneticPr fontId="0" type="noConversion"/>
  <pageMargins left="0.75" right="0.75" top="1" bottom="1.1200000000000001" header="0.5" footer="0.87"/>
  <pageSetup orientation="portrait" horizontalDpi="360" verticalDpi="360" r:id="rId1"/>
  <headerFooter alignWithMargins="0">
    <oddFooter>&amp;L&amp;"Tahoma,Regular"Concordia Language Villages, Food Service's recipe form (updated &amp;D).&amp;R&amp;"Tahoma,Regular"&amp;Xclv ts/s (10/2000)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K55"/>
  <sheetViews>
    <sheetView workbookViewId="0">
      <selection activeCell="A38" sqref="A38:K38"/>
    </sheetView>
  </sheetViews>
  <sheetFormatPr defaultRowHeight="11.25" customHeight="1" x14ac:dyDescent="0.2"/>
  <cols>
    <col min="1" max="2" width="9.140625" style="7"/>
    <col min="3" max="3" width="10.42578125" style="7" customWidth="1"/>
    <col min="4" max="4" width="0.7109375" style="7" customWidth="1"/>
    <col min="5" max="5" width="9.85546875" style="7" customWidth="1"/>
    <col min="6" max="6" width="11.7109375" style="7" customWidth="1"/>
    <col min="7" max="7" width="9.28515625" style="7" customWidth="1"/>
    <col min="8" max="8" width="9.140625" style="7"/>
    <col min="9" max="9" width="0.7109375" style="7" customWidth="1"/>
    <col min="10" max="10" width="11.5703125" style="7" customWidth="1"/>
    <col min="11" max="16384" width="9.140625" style="7"/>
  </cols>
  <sheetData>
    <row r="1" spans="1:11" ht="15" customHeight="1" x14ac:dyDescent="0.2">
      <c r="A1" s="222" t="s">
        <v>31</v>
      </c>
      <c r="B1" s="223"/>
      <c r="C1" s="223"/>
      <c r="D1" s="36"/>
      <c r="E1" s="225" t="str">
        <f>IF(('recipe form'!G1)=0," ",'recipe form'!G1)</f>
        <v>Beef Stroganoff</v>
      </c>
      <c r="F1" s="225"/>
      <c r="G1" s="225"/>
      <c r="H1" s="225"/>
      <c r="I1" s="37"/>
      <c r="J1" s="35" t="str">
        <f>IF('recipe form'!Q1=0, " ",'recipe form'!Q1)</f>
        <v>school</v>
      </c>
      <c r="K1" s="35" t="str">
        <f>IF('recipe form'!Q2=0, " ",'recipe form'!Q2)</f>
        <v>B5</v>
      </c>
    </row>
    <row r="2" spans="1:11" s="10" customFormat="1" ht="5.25" customHeight="1" x14ac:dyDescent="0.2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</row>
    <row r="3" spans="1:11" ht="11.25" customHeight="1" x14ac:dyDescent="0.2">
      <c r="A3" s="219" t="str">
        <f>IF('recipe form'!A52=0, " ",'recipe form'!A52)</f>
        <v>Serving size is 3/4 c. for 2 oz protein + 1/4 c. cooked vegetable.</v>
      </c>
      <c r="B3" s="220"/>
      <c r="C3" s="220"/>
      <c r="D3" s="220"/>
      <c r="E3" s="220"/>
      <c r="F3" s="220"/>
      <c r="G3" s="220"/>
      <c r="H3" s="220"/>
      <c r="I3" s="220"/>
      <c r="J3" s="220"/>
      <c r="K3" s="221"/>
    </row>
    <row r="4" spans="1:11" ht="11.25" customHeight="1" x14ac:dyDescent="0.2">
      <c r="A4" s="213" t="str">
        <f>IF('recipe form'!A53=0, " ",'recipe form'!A53)</f>
        <v xml:space="preserve"> </v>
      </c>
      <c r="B4" s="214"/>
      <c r="C4" s="214"/>
      <c r="D4" s="214"/>
      <c r="E4" s="214"/>
      <c r="F4" s="214"/>
      <c r="G4" s="214"/>
      <c r="H4" s="214"/>
      <c r="I4" s="214"/>
      <c r="J4" s="214"/>
      <c r="K4" s="215"/>
    </row>
    <row r="5" spans="1:11" ht="11.25" customHeight="1" x14ac:dyDescent="0.2">
      <c r="A5" s="213" t="str">
        <f>IF('recipe form'!A54:Q54=0, " ",'recipe form'!A54:Q54)</f>
        <v xml:space="preserve"> </v>
      </c>
      <c r="B5" s="214"/>
      <c r="C5" s="214"/>
      <c r="D5" s="214"/>
      <c r="E5" s="214"/>
      <c r="F5" s="214"/>
      <c r="G5" s="214"/>
      <c r="H5" s="214"/>
      <c r="I5" s="214"/>
      <c r="J5" s="214"/>
      <c r="K5" s="215"/>
    </row>
    <row r="6" spans="1:11" ht="11.25" customHeight="1" x14ac:dyDescent="0.2">
      <c r="A6" s="213" t="str">
        <f>IF('recipe form'!A55:Q55=0, " ",'recipe form'!A55:Q55)</f>
        <v xml:space="preserve"> </v>
      </c>
      <c r="B6" s="214"/>
      <c r="C6" s="214"/>
      <c r="D6" s="214"/>
      <c r="E6" s="214"/>
      <c r="F6" s="214"/>
      <c r="G6" s="214"/>
      <c r="H6" s="214"/>
      <c r="I6" s="214"/>
      <c r="J6" s="214"/>
      <c r="K6" s="215"/>
    </row>
    <row r="7" spans="1:11" ht="11.25" customHeight="1" x14ac:dyDescent="0.2">
      <c r="A7" s="213" t="str">
        <f>IF('recipe form'!A56:Q56=0, " ",'recipe form'!A56:Q56)</f>
        <v xml:space="preserve"> </v>
      </c>
      <c r="B7" s="214"/>
      <c r="C7" s="214"/>
      <c r="D7" s="214"/>
      <c r="E7" s="214"/>
      <c r="F7" s="214"/>
      <c r="G7" s="214"/>
      <c r="H7" s="214"/>
      <c r="I7" s="214"/>
      <c r="J7" s="214"/>
      <c r="K7" s="215"/>
    </row>
    <row r="8" spans="1:11" ht="11.25" customHeight="1" x14ac:dyDescent="0.2">
      <c r="A8" s="213" t="str">
        <f>IF('recipe form'!A57:Q57=0, " ",'recipe form'!A57:Q57)</f>
        <v xml:space="preserve"> </v>
      </c>
      <c r="B8" s="214"/>
      <c r="C8" s="214"/>
      <c r="D8" s="214"/>
      <c r="E8" s="214"/>
      <c r="F8" s="214"/>
      <c r="G8" s="214"/>
      <c r="H8" s="214"/>
      <c r="I8" s="214"/>
      <c r="J8" s="214"/>
      <c r="K8" s="215"/>
    </row>
    <row r="9" spans="1:11" ht="11.25" customHeight="1" x14ac:dyDescent="0.2">
      <c r="A9" s="213" t="str">
        <f>IF('recipe form'!A58:Q58=0, " ",'recipe form'!A58:Q58)</f>
        <v xml:space="preserve"> </v>
      </c>
      <c r="B9" s="214"/>
      <c r="C9" s="214"/>
      <c r="D9" s="214"/>
      <c r="E9" s="214"/>
      <c r="F9" s="214"/>
      <c r="G9" s="214"/>
      <c r="H9" s="214"/>
      <c r="I9" s="214"/>
      <c r="J9" s="214"/>
      <c r="K9" s="215"/>
    </row>
    <row r="10" spans="1:11" ht="11.25" customHeight="1" x14ac:dyDescent="0.2">
      <c r="A10" s="213" t="str">
        <f>IF('recipe form'!A59:Q59=0, " ",'recipe form'!A59:Q59)</f>
        <v xml:space="preserve"> </v>
      </c>
      <c r="B10" s="214"/>
      <c r="C10" s="214"/>
      <c r="D10" s="214"/>
      <c r="E10" s="214"/>
      <c r="F10" s="214"/>
      <c r="G10" s="214"/>
      <c r="H10" s="214"/>
      <c r="I10" s="214"/>
      <c r="J10" s="214"/>
      <c r="K10" s="215"/>
    </row>
    <row r="11" spans="1:11" ht="11.25" customHeight="1" x14ac:dyDescent="0.2">
      <c r="A11" s="216" t="str">
        <f>IF('recipe form'!A60:K60=0, " ",'recipe form'!A60:K60)</f>
        <v xml:space="preserve"> </v>
      </c>
      <c r="B11" s="217"/>
      <c r="C11" s="217"/>
      <c r="D11" s="217"/>
      <c r="E11" s="217"/>
      <c r="F11" s="217"/>
      <c r="G11" s="217"/>
      <c r="H11" s="217"/>
      <c r="I11" s="217"/>
      <c r="J11" s="217"/>
      <c r="K11" s="218"/>
    </row>
    <row r="12" spans="1:11" ht="4.5" customHeight="1" x14ac:dyDescent="0.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</row>
    <row r="13" spans="1:11" ht="15" customHeight="1" x14ac:dyDescent="0.2">
      <c r="A13" s="222" t="s">
        <v>34</v>
      </c>
      <c r="B13" s="223"/>
      <c r="C13" s="223"/>
      <c r="D13" s="223"/>
      <c r="E13" s="223"/>
      <c r="F13" s="223"/>
      <c r="G13" s="223"/>
      <c r="H13" s="223"/>
      <c r="I13" s="223"/>
      <c r="J13" s="223"/>
      <c r="K13" s="224"/>
    </row>
    <row r="14" spans="1:11" s="9" customFormat="1" ht="4.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</row>
    <row r="15" spans="1:11" ht="11.25" customHeight="1" x14ac:dyDescent="0.2">
      <c r="A15" s="210"/>
      <c r="B15" s="211"/>
      <c r="C15" s="211"/>
      <c r="D15" s="211"/>
      <c r="E15" s="211"/>
      <c r="F15" s="211"/>
      <c r="G15" s="211"/>
      <c r="H15" s="211"/>
      <c r="I15" s="211"/>
      <c r="J15" s="211"/>
      <c r="K15" s="212"/>
    </row>
    <row r="16" spans="1:11" ht="11.25" customHeight="1" x14ac:dyDescent="0.2">
      <c r="A16" s="205"/>
      <c r="B16" s="123"/>
      <c r="C16" s="123"/>
      <c r="D16" s="123"/>
      <c r="E16" s="123"/>
      <c r="F16" s="123"/>
      <c r="G16" s="123"/>
      <c r="H16" s="123"/>
      <c r="I16" s="123"/>
      <c r="J16" s="123"/>
      <c r="K16" s="206"/>
    </row>
    <row r="17" spans="1:11" ht="11.25" customHeight="1" x14ac:dyDescent="0.2">
      <c r="A17" s="205"/>
      <c r="B17" s="123"/>
      <c r="C17" s="123"/>
      <c r="D17" s="123"/>
      <c r="E17" s="123"/>
      <c r="F17" s="123"/>
      <c r="G17" s="123"/>
      <c r="H17" s="123"/>
      <c r="I17" s="123"/>
      <c r="J17" s="123"/>
      <c r="K17" s="206"/>
    </row>
    <row r="18" spans="1:11" ht="11.25" customHeight="1" x14ac:dyDescent="0.2">
      <c r="A18" s="205"/>
      <c r="B18" s="123"/>
      <c r="C18" s="123"/>
      <c r="D18" s="123"/>
      <c r="E18" s="123"/>
      <c r="F18" s="123"/>
      <c r="G18" s="123"/>
      <c r="H18" s="123"/>
      <c r="I18" s="123"/>
      <c r="J18" s="123"/>
      <c r="K18" s="206"/>
    </row>
    <row r="19" spans="1:11" ht="11.25" customHeight="1" x14ac:dyDescent="0.2">
      <c r="A19" s="205"/>
      <c r="B19" s="123"/>
      <c r="C19" s="123"/>
      <c r="D19" s="123"/>
      <c r="E19" s="123"/>
      <c r="F19" s="123"/>
      <c r="G19" s="123"/>
      <c r="H19" s="123"/>
      <c r="I19" s="123"/>
      <c r="J19" s="123"/>
      <c r="K19" s="206"/>
    </row>
    <row r="20" spans="1:11" ht="11.25" customHeight="1" x14ac:dyDescent="0.2">
      <c r="A20" s="205"/>
      <c r="B20" s="123"/>
      <c r="C20" s="123"/>
      <c r="D20" s="123"/>
      <c r="E20" s="123"/>
      <c r="F20" s="123"/>
      <c r="G20" s="123"/>
      <c r="H20" s="123"/>
      <c r="I20" s="123"/>
      <c r="J20" s="123"/>
      <c r="K20" s="206"/>
    </row>
    <row r="21" spans="1:11" ht="11.25" customHeight="1" x14ac:dyDescent="0.2">
      <c r="A21" s="205"/>
      <c r="B21" s="123"/>
      <c r="C21" s="123"/>
      <c r="D21" s="123"/>
      <c r="E21" s="123"/>
      <c r="F21" s="123"/>
      <c r="G21" s="123"/>
      <c r="H21" s="123"/>
      <c r="I21" s="123"/>
      <c r="J21" s="123"/>
      <c r="K21" s="206"/>
    </row>
    <row r="22" spans="1:11" ht="11.25" customHeight="1" x14ac:dyDescent="0.2">
      <c r="A22" s="205"/>
      <c r="B22" s="123"/>
      <c r="C22" s="123"/>
      <c r="D22" s="123"/>
      <c r="E22" s="123"/>
      <c r="F22" s="123"/>
      <c r="G22" s="123"/>
      <c r="H22" s="123"/>
      <c r="I22" s="123"/>
      <c r="J22" s="123"/>
      <c r="K22" s="206"/>
    </row>
    <row r="23" spans="1:11" ht="11.25" customHeight="1" x14ac:dyDescent="0.2">
      <c r="A23" s="205"/>
      <c r="B23" s="123"/>
      <c r="C23" s="123"/>
      <c r="D23" s="123"/>
      <c r="E23" s="123"/>
      <c r="F23" s="123"/>
      <c r="G23" s="123"/>
      <c r="H23" s="123"/>
      <c r="I23" s="123"/>
      <c r="J23" s="123"/>
      <c r="K23" s="206"/>
    </row>
    <row r="24" spans="1:11" ht="11.25" customHeight="1" x14ac:dyDescent="0.2">
      <c r="A24" s="205"/>
      <c r="B24" s="123"/>
      <c r="C24" s="123"/>
      <c r="D24" s="123"/>
      <c r="E24" s="123"/>
      <c r="F24" s="123"/>
      <c r="G24" s="123"/>
      <c r="H24" s="123"/>
      <c r="I24" s="123"/>
      <c r="J24" s="123"/>
      <c r="K24" s="206"/>
    </row>
    <row r="25" spans="1:11" ht="12.75" x14ac:dyDescent="0.2">
      <c r="A25" s="230"/>
      <c r="B25" s="231"/>
      <c r="C25" s="231"/>
      <c r="D25" s="231"/>
      <c r="E25" s="231"/>
      <c r="F25" s="231"/>
      <c r="G25" s="231"/>
      <c r="H25" s="231"/>
      <c r="I25" s="231"/>
      <c r="J25" s="231"/>
      <c r="K25" s="232"/>
    </row>
    <row r="26" spans="1:11" ht="12.75" x14ac:dyDescent="0.2">
      <c r="A26" s="230"/>
      <c r="B26" s="231"/>
      <c r="C26" s="231"/>
      <c r="D26" s="231"/>
      <c r="E26" s="231"/>
      <c r="F26" s="231"/>
      <c r="G26" s="231"/>
      <c r="H26" s="231"/>
      <c r="I26" s="231"/>
      <c r="J26" s="231"/>
      <c r="K26" s="232"/>
    </row>
    <row r="27" spans="1:11" ht="12.75" x14ac:dyDescent="0.2">
      <c r="A27" s="230"/>
      <c r="B27" s="231"/>
      <c r="C27" s="231"/>
      <c r="D27" s="231"/>
      <c r="E27" s="231"/>
      <c r="F27" s="231"/>
      <c r="G27" s="231"/>
      <c r="H27" s="231"/>
      <c r="I27" s="231"/>
      <c r="J27" s="231"/>
      <c r="K27" s="232"/>
    </row>
    <row r="28" spans="1:11" ht="12.75" x14ac:dyDescent="0.2">
      <c r="A28" s="230"/>
      <c r="B28" s="231"/>
      <c r="C28" s="231"/>
      <c r="D28" s="231"/>
      <c r="E28" s="231"/>
      <c r="F28" s="231"/>
      <c r="G28" s="231"/>
      <c r="H28" s="231"/>
      <c r="I28" s="231"/>
      <c r="J28" s="231"/>
      <c r="K28" s="232"/>
    </row>
    <row r="29" spans="1:11" ht="12.75" x14ac:dyDescent="0.2">
      <c r="A29" s="205"/>
      <c r="B29" s="123"/>
      <c r="C29" s="123"/>
      <c r="D29" s="123"/>
      <c r="E29" s="123"/>
      <c r="F29" s="123"/>
      <c r="G29" s="123"/>
      <c r="H29" s="123"/>
      <c r="I29" s="123"/>
      <c r="J29" s="123"/>
      <c r="K29" s="206"/>
    </row>
    <row r="30" spans="1:11" ht="12.75" x14ac:dyDescent="0.2">
      <c r="A30" s="205"/>
      <c r="B30" s="123"/>
      <c r="C30" s="123"/>
      <c r="D30" s="123"/>
      <c r="E30" s="123"/>
      <c r="F30" s="123"/>
      <c r="G30" s="123"/>
      <c r="H30" s="123"/>
      <c r="I30" s="123"/>
      <c r="J30" s="123"/>
      <c r="K30" s="206"/>
    </row>
    <row r="31" spans="1:11" ht="12.75" x14ac:dyDescent="0.2">
      <c r="A31" s="205"/>
      <c r="B31" s="123"/>
      <c r="C31" s="123"/>
      <c r="D31" s="123"/>
      <c r="E31" s="123"/>
      <c r="F31" s="123"/>
      <c r="G31" s="123"/>
      <c r="H31" s="123"/>
      <c r="I31" s="123"/>
      <c r="J31" s="123"/>
      <c r="K31" s="206"/>
    </row>
    <row r="32" spans="1:11" ht="12.75" x14ac:dyDescent="0.2">
      <c r="A32" s="205"/>
      <c r="B32" s="123"/>
      <c r="C32" s="123"/>
      <c r="D32" s="123"/>
      <c r="E32" s="123"/>
      <c r="F32" s="123"/>
      <c r="G32" s="123"/>
      <c r="H32" s="123"/>
      <c r="I32" s="123"/>
      <c r="J32" s="123"/>
      <c r="K32" s="206"/>
    </row>
    <row r="33" spans="1:11" ht="12.75" x14ac:dyDescent="0.2">
      <c r="A33" s="205"/>
      <c r="B33" s="123"/>
      <c r="C33" s="123"/>
      <c r="D33" s="123"/>
      <c r="E33" s="123"/>
      <c r="F33" s="123"/>
      <c r="G33" s="123"/>
      <c r="H33" s="123"/>
      <c r="I33" s="123"/>
      <c r="J33" s="123"/>
      <c r="K33" s="206"/>
    </row>
    <row r="34" spans="1:11" ht="12.75" x14ac:dyDescent="0.2">
      <c r="A34" s="205"/>
      <c r="B34" s="123"/>
      <c r="C34" s="123"/>
      <c r="D34" s="123"/>
      <c r="E34" s="123"/>
      <c r="F34" s="123"/>
      <c r="G34" s="123"/>
      <c r="H34" s="123"/>
      <c r="I34" s="123"/>
      <c r="J34" s="123"/>
      <c r="K34" s="206"/>
    </row>
    <row r="35" spans="1:11" ht="12.75" x14ac:dyDescent="0.2">
      <c r="A35" s="205"/>
      <c r="B35" s="123"/>
      <c r="C35" s="123"/>
      <c r="D35" s="123"/>
      <c r="E35" s="123"/>
      <c r="F35" s="123"/>
      <c r="G35" s="123"/>
      <c r="H35" s="123"/>
      <c r="I35" s="123"/>
      <c r="J35" s="123"/>
      <c r="K35" s="206"/>
    </row>
    <row r="36" spans="1:11" ht="12.75" x14ac:dyDescent="0.2">
      <c r="A36" s="205"/>
      <c r="B36" s="123"/>
      <c r="C36" s="123"/>
      <c r="D36" s="123"/>
      <c r="E36" s="123"/>
      <c r="F36" s="123"/>
      <c r="G36" s="123"/>
      <c r="H36" s="123"/>
      <c r="I36" s="123"/>
      <c r="J36" s="123"/>
      <c r="K36" s="206"/>
    </row>
    <row r="37" spans="1:11" ht="12.75" x14ac:dyDescent="0.2">
      <c r="A37" s="205"/>
      <c r="B37" s="123"/>
      <c r="C37" s="123"/>
      <c r="D37" s="123"/>
      <c r="E37" s="123"/>
      <c r="F37" s="123"/>
      <c r="G37" s="123"/>
      <c r="H37" s="123"/>
      <c r="I37" s="123"/>
      <c r="J37" s="123"/>
      <c r="K37" s="206"/>
    </row>
    <row r="38" spans="1:11" ht="12.75" x14ac:dyDescent="0.2">
      <c r="A38" s="205"/>
      <c r="B38" s="123"/>
      <c r="C38" s="123"/>
      <c r="D38" s="123"/>
      <c r="E38" s="123"/>
      <c r="F38" s="123"/>
      <c r="G38" s="123"/>
      <c r="H38" s="123"/>
      <c r="I38" s="123"/>
      <c r="J38" s="123"/>
      <c r="K38" s="206"/>
    </row>
    <row r="39" spans="1:11" ht="12.75" x14ac:dyDescent="0.2">
      <c r="A39" s="205"/>
      <c r="B39" s="123"/>
      <c r="C39" s="123"/>
      <c r="D39" s="123"/>
      <c r="E39" s="123"/>
      <c r="F39" s="123"/>
      <c r="G39" s="123"/>
      <c r="H39" s="123"/>
      <c r="I39" s="123"/>
      <c r="J39" s="123"/>
      <c r="K39" s="206"/>
    </row>
    <row r="40" spans="1:11" ht="12.75" x14ac:dyDescent="0.2">
      <c r="A40" s="205"/>
      <c r="B40" s="123"/>
      <c r="C40" s="123"/>
      <c r="D40" s="123"/>
      <c r="E40" s="123"/>
      <c r="F40" s="123"/>
      <c r="G40" s="123"/>
      <c r="H40" s="123"/>
      <c r="I40" s="123"/>
      <c r="J40" s="123"/>
      <c r="K40" s="206"/>
    </row>
    <row r="41" spans="1:11" ht="12.75" x14ac:dyDescent="0.2">
      <c r="A41" s="205"/>
      <c r="B41" s="123"/>
      <c r="C41" s="123"/>
      <c r="D41" s="123"/>
      <c r="E41" s="123"/>
      <c r="F41" s="123"/>
      <c r="G41" s="123"/>
      <c r="H41" s="123"/>
      <c r="I41" s="123"/>
      <c r="J41" s="123"/>
      <c r="K41" s="206"/>
    </row>
    <row r="42" spans="1:11" ht="12.75" x14ac:dyDescent="0.2">
      <c r="A42" s="205"/>
      <c r="B42" s="123"/>
      <c r="C42" s="123"/>
      <c r="D42" s="123"/>
      <c r="E42" s="123"/>
      <c r="F42" s="123"/>
      <c r="G42" s="123"/>
      <c r="H42" s="123"/>
      <c r="I42" s="123"/>
      <c r="J42" s="123"/>
      <c r="K42" s="206"/>
    </row>
    <row r="43" spans="1:11" ht="12.75" x14ac:dyDescent="0.2">
      <c r="A43" s="205"/>
      <c r="B43" s="123"/>
      <c r="C43" s="123"/>
      <c r="D43" s="123"/>
      <c r="E43" s="123"/>
      <c r="F43" s="123"/>
      <c r="G43" s="123"/>
      <c r="H43" s="123"/>
      <c r="I43" s="123"/>
      <c r="J43" s="123"/>
      <c r="K43" s="206"/>
    </row>
    <row r="44" spans="1:11" ht="12.75" x14ac:dyDescent="0.2">
      <c r="A44" s="205"/>
      <c r="B44" s="123"/>
      <c r="C44" s="123"/>
      <c r="D44" s="123"/>
      <c r="E44" s="123"/>
      <c r="F44" s="123"/>
      <c r="G44" s="123"/>
      <c r="H44" s="123"/>
      <c r="I44" s="123"/>
      <c r="J44" s="123"/>
      <c r="K44" s="206"/>
    </row>
    <row r="45" spans="1:11" ht="12.75" x14ac:dyDescent="0.2">
      <c r="A45" s="205"/>
      <c r="B45" s="123"/>
      <c r="C45" s="123"/>
      <c r="D45" s="123"/>
      <c r="E45" s="123"/>
      <c r="F45" s="123"/>
      <c r="G45" s="123"/>
      <c r="H45" s="123"/>
      <c r="I45" s="123"/>
      <c r="J45" s="123"/>
      <c r="K45" s="206"/>
    </row>
    <row r="46" spans="1:11" ht="12.75" x14ac:dyDescent="0.2">
      <c r="A46" s="205"/>
      <c r="B46" s="123"/>
      <c r="C46" s="123"/>
      <c r="D46" s="123"/>
      <c r="E46" s="123"/>
      <c r="F46" s="123"/>
      <c r="G46" s="123"/>
      <c r="H46" s="123"/>
      <c r="I46" s="123"/>
      <c r="J46" s="123"/>
      <c r="K46" s="206"/>
    </row>
    <row r="47" spans="1:11" ht="12.75" x14ac:dyDescent="0.2">
      <c r="A47" s="205"/>
      <c r="B47" s="123"/>
      <c r="C47" s="123"/>
      <c r="D47" s="123"/>
      <c r="E47" s="123"/>
      <c r="F47" s="123"/>
      <c r="G47" s="123"/>
      <c r="H47" s="123"/>
      <c r="I47" s="123"/>
      <c r="J47" s="123"/>
      <c r="K47" s="206"/>
    </row>
    <row r="48" spans="1:11" ht="12.75" x14ac:dyDescent="0.2">
      <c r="A48" s="205"/>
      <c r="B48" s="123"/>
      <c r="C48" s="123"/>
      <c r="D48" s="123"/>
      <c r="E48" s="123"/>
      <c r="F48" s="123"/>
      <c r="G48" s="123"/>
      <c r="H48" s="123"/>
      <c r="I48" s="123"/>
      <c r="J48" s="123"/>
      <c r="K48" s="206"/>
    </row>
    <row r="49" spans="1:11" ht="12.75" x14ac:dyDescent="0.2">
      <c r="A49" s="205"/>
      <c r="B49" s="123"/>
      <c r="C49" s="123"/>
      <c r="D49" s="123"/>
      <c r="E49" s="123"/>
      <c r="F49" s="123"/>
      <c r="G49" s="123"/>
      <c r="H49" s="123"/>
      <c r="I49" s="123"/>
      <c r="J49" s="123"/>
      <c r="K49" s="206"/>
    </row>
    <row r="50" spans="1:11" ht="12.75" x14ac:dyDescent="0.2">
      <c r="A50" s="205"/>
      <c r="B50" s="123"/>
      <c r="C50" s="123"/>
      <c r="D50" s="123"/>
      <c r="E50" s="123"/>
      <c r="F50" s="123"/>
      <c r="G50" s="123"/>
      <c r="H50" s="123"/>
      <c r="I50" s="123"/>
      <c r="J50" s="123"/>
      <c r="K50" s="206"/>
    </row>
    <row r="51" spans="1:11" ht="12.75" x14ac:dyDescent="0.2">
      <c r="A51" s="205"/>
      <c r="B51" s="123"/>
      <c r="C51" s="123"/>
      <c r="D51" s="123"/>
      <c r="E51" s="123"/>
      <c r="F51" s="123"/>
      <c r="G51" s="123"/>
      <c r="H51" s="123"/>
      <c r="I51" s="123"/>
      <c r="J51" s="123"/>
      <c r="K51" s="206"/>
    </row>
    <row r="52" spans="1:11" ht="12.75" x14ac:dyDescent="0.2">
      <c r="A52" s="205"/>
      <c r="B52" s="123"/>
      <c r="C52" s="123"/>
      <c r="D52" s="123"/>
      <c r="E52" s="123"/>
      <c r="F52" s="123"/>
      <c r="G52" s="123"/>
      <c r="H52" s="123"/>
      <c r="I52" s="123"/>
      <c r="J52" s="123"/>
      <c r="K52" s="206"/>
    </row>
    <row r="53" spans="1:11" ht="12.75" x14ac:dyDescent="0.2">
      <c r="A53" s="205"/>
      <c r="B53" s="123"/>
      <c r="C53" s="123"/>
      <c r="D53" s="123"/>
      <c r="E53" s="123"/>
      <c r="F53" s="123"/>
      <c r="G53" s="123"/>
      <c r="H53" s="123"/>
      <c r="I53" s="123"/>
      <c r="J53" s="123"/>
      <c r="K53" s="206"/>
    </row>
    <row r="54" spans="1:11" ht="12.75" x14ac:dyDescent="0.2">
      <c r="A54" s="226"/>
      <c r="B54" s="227"/>
      <c r="C54" s="227"/>
      <c r="D54" s="227"/>
      <c r="E54" s="227"/>
      <c r="F54" s="227"/>
      <c r="G54" s="227"/>
      <c r="H54" s="227"/>
      <c r="I54" s="227"/>
      <c r="J54" s="227"/>
      <c r="K54" s="228"/>
    </row>
    <row r="55" spans="1:11" ht="11.25" customHeight="1" x14ac:dyDescent="0.2">
      <c r="H55" s="229"/>
      <c r="I55" s="229"/>
      <c r="J55" s="229"/>
      <c r="K55" s="229"/>
    </row>
  </sheetData>
  <sheetProtection sheet="1" objects="1" scenarios="1"/>
  <mergeCells count="53">
    <mergeCell ref="A5:K5"/>
    <mergeCell ref="A6:K6"/>
    <mergeCell ref="A1:C1"/>
    <mergeCell ref="E1:H1"/>
    <mergeCell ref="A3:K3"/>
    <mergeCell ref="A4:K4"/>
    <mergeCell ref="A11:K11"/>
    <mergeCell ref="A13:K13"/>
    <mergeCell ref="A15:K15"/>
    <mergeCell ref="A16:K16"/>
    <mergeCell ref="A7:K7"/>
    <mergeCell ref="A8:K8"/>
    <mergeCell ref="A9:K9"/>
    <mergeCell ref="A10:K10"/>
    <mergeCell ref="A21:K21"/>
    <mergeCell ref="A22:K22"/>
    <mergeCell ref="A23:K23"/>
    <mergeCell ref="A24:K24"/>
    <mergeCell ref="A17:K17"/>
    <mergeCell ref="A18:K18"/>
    <mergeCell ref="A19:K19"/>
    <mergeCell ref="A20:K20"/>
    <mergeCell ref="A25:K25"/>
    <mergeCell ref="A27:K27"/>
    <mergeCell ref="A29:K29"/>
    <mergeCell ref="A30:K30"/>
    <mergeCell ref="A26:K26"/>
    <mergeCell ref="A28:K28"/>
    <mergeCell ref="A35:K35"/>
    <mergeCell ref="A36:K36"/>
    <mergeCell ref="A37:K37"/>
    <mergeCell ref="A38:K38"/>
    <mergeCell ref="A31:K31"/>
    <mergeCell ref="A32:K32"/>
    <mergeCell ref="A33:K33"/>
    <mergeCell ref="A34:K34"/>
    <mergeCell ref="A39:K39"/>
    <mergeCell ref="A40:K40"/>
    <mergeCell ref="A41:K41"/>
    <mergeCell ref="A42:K42"/>
    <mergeCell ref="A52:K52"/>
    <mergeCell ref="A45:K45"/>
    <mergeCell ref="A46:K46"/>
    <mergeCell ref="A47:K47"/>
    <mergeCell ref="A43:K43"/>
    <mergeCell ref="A44:K44"/>
    <mergeCell ref="A53:K53"/>
    <mergeCell ref="A54:K54"/>
    <mergeCell ref="H55:K55"/>
    <mergeCell ref="A48:K48"/>
    <mergeCell ref="A49:K49"/>
    <mergeCell ref="A50:K50"/>
    <mergeCell ref="A51:K51"/>
  </mergeCells>
  <phoneticPr fontId="0" type="noConversion"/>
  <pageMargins left="0.75" right="0.75" top="1" bottom="1.1299999999999999" header="0.5" footer="0.89"/>
  <pageSetup orientation="portrait" horizontalDpi="360" verticalDpi="360" r:id="rId1"/>
  <headerFooter alignWithMargins="0">
    <oddFooter>&amp;L&amp;"Tahoma,Regular"Concordia Language Villages, Food Service's recipe form (updated &amp;D).&amp;R&amp;"Tahoma,Regular"&amp;Yclv ts/s (10/2000)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AD67"/>
  <sheetViews>
    <sheetView zoomScaleNormal="100" zoomScaleSheetLayoutView="110" workbookViewId="0">
      <selection activeCell="C20" sqref="C20:I20"/>
    </sheetView>
  </sheetViews>
  <sheetFormatPr defaultRowHeight="12.75" x14ac:dyDescent="0.2"/>
  <cols>
    <col min="1" max="1" width="3.28515625" style="31" customWidth="1"/>
    <col min="2" max="2" width="1.28515625" style="31" customWidth="1"/>
    <col min="3" max="3" width="3" style="31" customWidth="1"/>
    <col min="4" max="4" width="0.7109375" style="31" customWidth="1"/>
    <col min="5" max="5" width="10.42578125" style="31" customWidth="1"/>
    <col min="6" max="6" width="0.5703125" style="31" customWidth="1"/>
    <col min="7" max="7" width="7.5703125" style="31" customWidth="1"/>
    <col min="8" max="8" width="10.5703125" style="83" customWidth="1"/>
    <col min="9" max="9" width="7" style="83" customWidth="1"/>
    <col min="10" max="10" width="6.5703125" style="83" customWidth="1"/>
    <col min="11" max="11" width="0.7109375" style="83" customWidth="1"/>
    <col min="12" max="12" width="5.42578125" style="83" customWidth="1"/>
    <col min="13" max="13" width="0.7109375" style="83" customWidth="1"/>
    <col min="14" max="14" width="8.85546875" style="83" customWidth="1"/>
    <col min="15" max="15" width="10.140625" style="83" customWidth="1"/>
    <col min="16" max="16" width="0.7109375" style="83" customWidth="1"/>
    <col min="17" max="17" width="5.7109375" style="83" customWidth="1"/>
    <col min="18" max="18" width="0.7109375" style="83" customWidth="1"/>
    <col min="19" max="19" width="4.7109375" style="83" customWidth="1"/>
    <col min="20" max="20" width="1.42578125" style="83" customWidth="1"/>
    <col min="21" max="16384" width="9.140625" style="83"/>
  </cols>
  <sheetData>
    <row r="1" spans="1:30" ht="18" customHeight="1" thickBot="1" x14ac:dyDescent="0.3">
      <c r="C1" s="32"/>
      <c r="D1" s="150"/>
      <c r="E1" s="150"/>
      <c r="F1" s="53"/>
      <c r="G1" s="248" t="str">
        <f>IF('recipe form'!G1=0," ",'recipe form'!G1)</f>
        <v>Beef Stroganoff</v>
      </c>
      <c r="H1" s="248"/>
      <c r="I1" s="248"/>
      <c r="J1" s="248"/>
      <c r="K1" s="248"/>
      <c r="L1" s="248"/>
      <c r="M1" s="248"/>
      <c r="N1" s="248"/>
      <c r="O1" s="248"/>
      <c r="P1" s="59"/>
      <c r="Q1" s="249" t="str">
        <f>IF('recipe form'!Q1=0," ",'recipe form'!Q1)</f>
        <v>school</v>
      </c>
      <c r="R1" s="250"/>
      <c r="S1" s="250"/>
      <c r="T1" s="251"/>
      <c r="U1" s="82"/>
      <c r="V1" s="82"/>
      <c r="W1" s="82"/>
      <c r="X1" s="82"/>
      <c r="Y1" s="82"/>
      <c r="Z1" s="82"/>
      <c r="AA1" s="82"/>
      <c r="AB1" s="82"/>
    </row>
    <row r="2" spans="1:30" ht="18" customHeight="1" thickBot="1" x14ac:dyDescent="0.3">
      <c r="C2" s="32"/>
      <c r="D2" s="151"/>
      <c r="E2" s="151"/>
      <c r="F2" s="52"/>
      <c r="G2" s="252" t="str">
        <f>IF('recipe form'!G2=0," ",'recipe form'!G2)</f>
        <v xml:space="preserve"> </v>
      </c>
      <c r="H2" s="252"/>
      <c r="I2" s="252"/>
      <c r="J2" s="252"/>
      <c r="K2" s="252"/>
      <c r="L2" s="252"/>
      <c r="M2" s="252"/>
      <c r="N2" s="252"/>
      <c r="O2" s="252"/>
      <c r="P2" s="50"/>
      <c r="Q2" s="249" t="str">
        <f>IF('recipe form'!Q2=0," ",'recipe form'!Q2)</f>
        <v>B5</v>
      </c>
      <c r="R2" s="250"/>
      <c r="S2" s="250"/>
      <c r="T2" s="251"/>
      <c r="U2" s="61"/>
      <c r="V2" s="53"/>
      <c r="W2" s="53"/>
      <c r="X2" s="53"/>
      <c r="Y2" s="53"/>
      <c r="Z2" s="53"/>
      <c r="AA2" s="53"/>
      <c r="AB2" s="84"/>
      <c r="AC2" s="61"/>
      <c r="AD2" s="85"/>
    </row>
    <row r="3" spans="1:30" s="62" customFormat="1" ht="3" customHeight="1" thickBot="1" x14ac:dyDescent="0.3">
      <c r="A3" s="46"/>
      <c r="B3" s="46"/>
      <c r="C3" s="47"/>
      <c r="D3" s="47"/>
      <c r="E3" s="47"/>
      <c r="F3" s="47"/>
      <c r="G3" s="48"/>
      <c r="H3" s="48"/>
      <c r="I3" s="48"/>
      <c r="J3" s="60"/>
      <c r="K3" s="60"/>
      <c r="L3" s="60"/>
      <c r="M3" s="60"/>
      <c r="N3" s="60"/>
      <c r="O3" s="60"/>
      <c r="P3" s="60"/>
      <c r="Q3" s="49"/>
      <c r="R3" s="49"/>
      <c r="S3" s="49"/>
      <c r="T3" s="49"/>
      <c r="U3" s="48"/>
      <c r="V3" s="48"/>
      <c r="W3" s="48"/>
      <c r="X3" s="48"/>
      <c r="Y3" s="48"/>
      <c r="Z3" s="48"/>
      <c r="AA3" s="48"/>
      <c r="AB3" s="48"/>
      <c r="AC3" s="61"/>
    </row>
    <row r="4" spans="1:30" ht="12.75" customHeight="1" x14ac:dyDescent="0.35">
      <c r="A4" s="238" t="s">
        <v>35</v>
      </c>
      <c r="B4" s="239"/>
      <c r="C4" s="239"/>
      <c r="D4" s="67"/>
      <c r="E4" s="240" t="str">
        <f>IF('recipe form'!E4=0," ",'recipe form'!E4)</f>
        <v xml:space="preserve"> </v>
      </c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1"/>
      <c r="U4" s="86"/>
      <c r="V4" s="86"/>
      <c r="W4" s="86"/>
      <c r="X4" s="86"/>
      <c r="Y4" s="86"/>
      <c r="Z4" s="87"/>
      <c r="AA4" s="87"/>
      <c r="AB4" s="87"/>
      <c r="AC4" s="62"/>
    </row>
    <row r="5" spans="1:30" ht="12.75" customHeight="1" x14ac:dyDescent="0.35">
      <c r="A5" s="242" t="str">
        <f>IF('recipe form'!A5=0," ",'recipe form'!A5)</f>
        <v xml:space="preserve"> </v>
      </c>
      <c r="B5" s="243"/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4"/>
      <c r="U5" s="86"/>
      <c r="V5" s="86"/>
      <c r="W5" s="86"/>
      <c r="X5" s="86"/>
      <c r="Y5" s="86"/>
      <c r="Z5" s="87"/>
      <c r="AA5" s="87"/>
      <c r="AB5" s="87"/>
      <c r="AC5" s="62"/>
    </row>
    <row r="6" spans="1:30" ht="12.75" customHeight="1" thickBot="1" x14ac:dyDescent="0.4">
      <c r="A6" s="245" t="str">
        <f>IF('recipe form'!A6=0," ",'recipe form'!A6)</f>
        <v xml:space="preserve"> </v>
      </c>
      <c r="B6" s="246"/>
      <c r="C6" s="246"/>
      <c r="D6" s="246"/>
      <c r="E6" s="246"/>
      <c r="F6" s="246"/>
      <c r="G6" s="246"/>
      <c r="H6" s="246"/>
      <c r="I6" s="246"/>
      <c r="J6" s="246"/>
      <c r="K6" s="246"/>
      <c r="L6" s="246"/>
      <c r="M6" s="246"/>
      <c r="N6" s="246"/>
      <c r="O6" s="246"/>
      <c r="P6" s="246"/>
      <c r="Q6" s="246"/>
      <c r="R6" s="246"/>
      <c r="S6" s="246"/>
      <c r="T6" s="247"/>
      <c r="U6" s="86"/>
      <c r="V6" s="86"/>
      <c r="W6" s="86"/>
      <c r="X6" s="86"/>
      <c r="Y6" s="86"/>
      <c r="Z6" s="87"/>
      <c r="AA6" s="87"/>
      <c r="AB6" s="87"/>
      <c r="AC6" s="62"/>
    </row>
    <row r="7" spans="1:30" ht="5.25" customHeight="1" thickBot="1" x14ac:dyDescent="0.4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51"/>
      <c r="Q7" s="148"/>
      <c r="R7" s="148"/>
      <c r="S7" s="148"/>
      <c r="T7" s="148"/>
      <c r="U7" s="86"/>
      <c r="V7" s="86"/>
      <c r="W7" s="86"/>
      <c r="X7" s="86"/>
      <c r="Y7" s="86"/>
      <c r="Z7" s="87"/>
      <c r="AA7" s="87"/>
      <c r="AB7" s="87"/>
      <c r="AC7" s="62"/>
    </row>
    <row r="8" spans="1:30" ht="12.75" customHeight="1" x14ac:dyDescent="0.35">
      <c r="A8" s="236" t="s">
        <v>37</v>
      </c>
      <c r="B8" s="237"/>
      <c r="C8" s="237"/>
      <c r="D8" s="81"/>
      <c r="E8" s="240" t="str">
        <f>IF('recipe form'!E8=0," ",'recipe form'!E8)</f>
        <v xml:space="preserve"> </v>
      </c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  <c r="R8" s="240"/>
      <c r="S8" s="240"/>
      <c r="T8" s="241"/>
      <c r="U8" s="86"/>
      <c r="V8" s="86"/>
      <c r="W8" s="87"/>
      <c r="X8" s="87"/>
      <c r="Y8" s="87"/>
      <c r="Z8" s="62"/>
    </row>
    <row r="9" spans="1:30" ht="12.75" customHeight="1" thickBot="1" x14ac:dyDescent="0.4">
      <c r="A9" s="233" t="str">
        <f>IF('recipe form'!A9=0," ",'recipe form'!A9)</f>
        <v xml:space="preserve"> </v>
      </c>
      <c r="B9" s="234"/>
      <c r="C9" s="234"/>
      <c r="D9" s="234"/>
      <c r="E9" s="234"/>
      <c r="F9" s="234"/>
      <c r="G9" s="234"/>
      <c r="H9" s="234"/>
      <c r="I9" s="234"/>
      <c r="J9" s="234"/>
      <c r="K9" s="234"/>
      <c r="L9" s="234"/>
      <c r="M9" s="234"/>
      <c r="N9" s="234"/>
      <c r="O9" s="234"/>
      <c r="P9" s="234"/>
      <c r="Q9" s="234"/>
      <c r="R9" s="234"/>
      <c r="S9" s="234"/>
      <c r="T9" s="235"/>
      <c r="U9" s="86"/>
      <c r="V9" s="86"/>
      <c r="W9" s="87"/>
      <c r="X9" s="87"/>
      <c r="Y9" s="87"/>
      <c r="Z9" s="62"/>
    </row>
    <row r="10" spans="1:30" ht="5.25" customHeight="1" x14ac:dyDescent="0.35">
      <c r="A10" s="88"/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6"/>
      <c r="V10" s="86"/>
      <c r="W10" s="87"/>
      <c r="X10" s="87"/>
      <c r="Y10" s="87"/>
      <c r="Z10" s="62"/>
    </row>
    <row r="11" spans="1:30" ht="11.25" customHeight="1" x14ac:dyDescent="0.2">
      <c r="A11" s="197" t="s">
        <v>28</v>
      </c>
      <c r="B11" s="198"/>
      <c r="C11" s="198"/>
      <c r="D11" s="198"/>
      <c r="E11" s="198"/>
      <c r="F11" s="198"/>
      <c r="G11" s="198"/>
      <c r="H11" s="198"/>
      <c r="I11" s="199"/>
      <c r="J11" s="16" t="s">
        <v>10</v>
      </c>
      <c r="K11" s="16"/>
      <c r="L11" s="16" t="s">
        <v>11</v>
      </c>
      <c r="N11" s="269" t="s">
        <v>40</v>
      </c>
      <c r="O11" s="270"/>
      <c r="P11" s="89"/>
      <c r="Q11" s="90">
        <f>'recipe form'!Q9</f>
        <v>15</v>
      </c>
      <c r="R11" s="89"/>
      <c r="S11" s="271" t="s">
        <v>41</v>
      </c>
      <c r="T11" s="272"/>
    </row>
    <row r="12" spans="1:30" s="62" customFormat="1" ht="5.25" customHeight="1" x14ac:dyDescent="0.2">
      <c r="A12" s="75"/>
      <c r="B12" s="76"/>
      <c r="C12" s="76"/>
      <c r="D12" s="76"/>
      <c r="E12" s="76"/>
      <c r="F12" s="76"/>
      <c r="G12" s="76"/>
      <c r="H12" s="76"/>
      <c r="I12" s="77"/>
      <c r="J12" s="78"/>
      <c r="K12" s="80"/>
      <c r="L12" s="79"/>
      <c r="N12" s="91"/>
      <c r="O12" s="92"/>
      <c r="P12" s="93"/>
      <c r="Q12" s="94"/>
      <c r="R12" s="95"/>
      <c r="S12" s="94"/>
      <c r="T12" s="96"/>
    </row>
    <row r="13" spans="1:30" ht="11.25" customHeight="1" x14ac:dyDescent="0.2">
      <c r="A13" s="57" t="s">
        <v>0</v>
      </c>
      <c r="B13" s="58"/>
      <c r="C13" s="256" t="str">
        <f>IF('recipe form'!C12=0," ",'recipe form'!C12)</f>
        <v>beef eye of round, cubed</v>
      </c>
      <c r="D13" s="256"/>
      <c r="E13" s="256"/>
      <c r="F13" s="256"/>
      <c r="G13" s="256"/>
      <c r="H13" s="256"/>
      <c r="I13" s="257"/>
      <c r="J13" s="97">
        <f>IF('recipe form'!J12=0," ",'recipe form'!J12)</f>
        <v>25</v>
      </c>
      <c r="K13" s="74"/>
      <c r="L13" s="98" t="str">
        <f>IF('recipe form'!L12=0," ",'recipe form'!L12)</f>
        <v>#</v>
      </c>
      <c r="N13" s="99"/>
      <c r="O13" s="100">
        <f>IF('recipe form'!C12=0," ",('recipe form'!J12/'recipe form'!$J$33)*'recipe form'!$Q$9)</f>
        <v>2.5</v>
      </c>
      <c r="P13" s="273"/>
      <c r="Q13" s="101" t="str">
        <f>IF('recipe form'!L12=0," ",'recipe form'!L12)</f>
        <v>#</v>
      </c>
      <c r="R13" s="102"/>
      <c r="S13" s="102"/>
      <c r="T13" s="103"/>
    </row>
    <row r="14" spans="1:30" ht="11.25" customHeight="1" x14ac:dyDescent="0.2">
      <c r="A14" s="63" t="s">
        <v>1</v>
      </c>
      <c r="B14" s="64"/>
      <c r="C14" s="256" t="str">
        <f>IF('recipe form'!C13=0," ",'recipe form'!C13)</f>
        <v xml:space="preserve"> </v>
      </c>
      <c r="D14" s="256"/>
      <c r="E14" s="256"/>
      <c r="F14" s="256"/>
      <c r="G14" s="256"/>
      <c r="H14" s="256"/>
      <c r="I14" s="257"/>
      <c r="J14" s="104" t="str">
        <f>IF('recipe form'!J13=0," ",'recipe form'!J13)</f>
        <v xml:space="preserve"> </v>
      </c>
      <c r="K14" s="70"/>
      <c r="L14" s="98" t="str">
        <f>IF('recipe form'!L13=0," ",'recipe form'!L13)</f>
        <v xml:space="preserve"> </v>
      </c>
      <c r="N14" s="105"/>
      <c r="O14" s="106" t="str">
        <f>IF('recipe form'!C13=0," ",('recipe form'!J13/'recipe form'!$J$33)*'recipe form'!$Q$9)</f>
        <v xml:space="preserve"> </v>
      </c>
      <c r="P14" s="274"/>
      <c r="Q14" s="107" t="str">
        <f>IF('recipe form'!L13=0," ",'recipe form'!L13)</f>
        <v xml:space="preserve"> </v>
      </c>
      <c r="R14" s="108"/>
      <c r="S14" s="108"/>
      <c r="T14" s="109"/>
    </row>
    <row r="15" spans="1:30" ht="11.25" customHeight="1" x14ac:dyDescent="0.2">
      <c r="A15" s="63" t="s">
        <v>2</v>
      </c>
      <c r="B15" s="64"/>
      <c r="C15" s="256" t="str">
        <f>IF('recipe form'!C14=0," ",'recipe form'!C14)</f>
        <v>mushrooms, sliced</v>
      </c>
      <c r="D15" s="256"/>
      <c r="E15" s="256"/>
      <c r="F15" s="256"/>
      <c r="G15" s="256"/>
      <c r="H15" s="256"/>
      <c r="I15" s="257"/>
      <c r="J15" s="104">
        <f>IF('recipe form'!J14=0," ",'recipe form'!J14)</f>
        <v>10</v>
      </c>
      <c r="K15" s="70"/>
      <c r="L15" s="98" t="str">
        <f>IF('recipe form'!L14=0," ",'recipe form'!L14)</f>
        <v>#</v>
      </c>
      <c r="N15" s="105"/>
      <c r="O15" s="106">
        <f>IF('recipe form'!J14=0," ",('recipe form'!J14/'recipe form'!$J$33)*'recipe form'!$Q$9)</f>
        <v>1</v>
      </c>
      <c r="P15" s="274"/>
      <c r="Q15" s="107" t="str">
        <f>IF('recipe form'!L14=0," ",'recipe form'!L14)</f>
        <v>#</v>
      </c>
      <c r="R15" s="108"/>
      <c r="S15" s="108"/>
      <c r="T15" s="109"/>
    </row>
    <row r="16" spans="1:30" ht="11.25" customHeight="1" x14ac:dyDescent="0.2">
      <c r="A16" s="63" t="s">
        <v>3</v>
      </c>
      <c r="B16" s="64"/>
      <c r="C16" s="256" t="str">
        <f>IF('recipe form'!C15=0," ",'recipe form'!C15)</f>
        <v>onion, diced</v>
      </c>
      <c r="D16" s="256"/>
      <c r="E16" s="256"/>
      <c r="F16" s="256"/>
      <c r="G16" s="256"/>
      <c r="H16" s="256"/>
      <c r="I16" s="257"/>
      <c r="J16" s="104">
        <f>IF('recipe form'!J15=0," ",'recipe form'!J15)</f>
        <v>4</v>
      </c>
      <c r="K16" s="70"/>
      <c r="L16" s="98" t="str">
        <f>IF('recipe form'!L15=0," ",'recipe form'!L15)</f>
        <v>#</v>
      </c>
      <c r="N16" s="105"/>
      <c r="O16" s="106">
        <f>IF('recipe form'!J15=0," ",('recipe form'!J15/'recipe form'!$J$33)*'recipe form'!$Q$9)</f>
        <v>0.4</v>
      </c>
      <c r="P16" s="274"/>
      <c r="Q16" s="107" t="str">
        <f>IF('recipe form'!L15=0," ",'recipe form'!L15)</f>
        <v>#</v>
      </c>
      <c r="R16" s="108"/>
      <c r="S16" s="108"/>
      <c r="T16" s="109"/>
    </row>
    <row r="17" spans="1:20" ht="11.25" customHeight="1" x14ac:dyDescent="0.2">
      <c r="A17" s="63" t="s">
        <v>4</v>
      </c>
      <c r="B17" s="64"/>
      <c r="C17" s="256" t="str">
        <f>IF('recipe form'!C16=0," ",'recipe form'!C16)</f>
        <v>tomato puree</v>
      </c>
      <c r="D17" s="256"/>
      <c r="E17" s="256"/>
      <c r="F17" s="256"/>
      <c r="G17" s="256"/>
      <c r="H17" s="256"/>
      <c r="I17" s="257"/>
      <c r="J17" s="104">
        <f>IF('recipe form'!J16=0," ",'recipe form'!J16)</f>
        <v>3</v>
      </c>
      <c r="K17" s="70"/>
      <c r="L17" s="98" t="str">
        <f>IF('recipe form'!L16=0," ",'recipe form'!L16)</f>
        <v>#</v>
      </c>
      <c r="N17" s="105"/>
      <c r="O17" s="106">
        <f>IF('recipe form'!J16=0," ",('recipe form'!J16/'recipe form'!$J$33)*'recipe form'!$Q$9)</f>
        <v>0.3</v>
      </c>
      <c r="P17" s="274"/>
      <c r="Q17" s="107" t="str">
        <f>IF('recipe form'!L16=0," ",'recipe form'!L16)</f>
        <v>#</v>
      </c>
      <c r="R17" s="108"/>
      <c r="S17" s="108"/>
      <c r="T17" s="109"/>
    </row>
    <row r="18" spans="1:20" ht="11.25" customHeight="1" x14ac:dyDescent="0.2">
      <c r="A18" s="63" t="s">
        <v>5</v>
      </c>
      <c r="B18" s="64"/>
      <c r="C18" s="256" t="str">
        <f>IF('recipe form'!C17=0," ",'recipe form'!C17)</f>
        <v>beef base</v>
      </c>
      <c r="D18" s="256"/>
      <c r="E18" s="256"/>
      <c r="F18" s="256"/>
      <c r="G18" s="256"/>
      <c r="H18" s="256"/>
      <c r="I18" s="257"/>
      <c r="J18" s="104">
        <f>IF('recipe form'!J17=0," ",'recipe form'!J17)</f>
        <v>0.5</v>
      </c>
      <c r="K18" s="70"/>
      <c r="L18" s="98" t="str">
        <f>IF('recipe form'!L17=0," ",'recipe form'!L17)</f>
        <v>#</v>
      </c>
      <c r="N18" s="105"/>
      <c r="O18" s="106">
        <f>IF('recipe form'!J17=0," ",('recipe form'!J17/'recipe form'!$J$33)*'recipe form'!$Q$9)</f>
        <v>0.05</v>
      </c>
      <c r="P18" s="274"/>
      <c r="Q18" s="107" t="str">
        <f>IF('recipe form'!L17=0," ",'recipe form'!L17)</f>
        <v>#</v>
      </c>
      <c r="R18" s="108"/>
      <c r="S18" s="108"/>
      <c r="T18" s="109"/>
    </row>
    <row r="19" spans="1:20" ht="11.25" customHeight="1" x14ac:dyDescent="0.2">
      <c r="A19" s="63" t="s">
        <v>6</v>
      </c>
      <c r="B19" s="64"/>
      <c r="C19" s="256" t="str">
        <f>IF('recipe form'!C18=0," ",'recipe form'!C18)</f>
        <v>water</v>
      </c>
      <c r="D19" s="256"/>
      <c r="E19" s="256"/>
      <c r="F19" s="256"/>
      <c r="G19" s="256"/>
      <c r="H19" s="256"/>
      <c r="I19" s="257"/>
      <c r="J19" s="104">
        <f>IF('recipe form'!J18=0," ",'recipe form'!J18)</f>
        <v>4</v>
      </c>
      <c r="K19" s="70"/>
      <c r="L19" s="98" t="str">
        <f>IF('recipe form'!L18=0," ",'recipe form'!L18)</f>
        <v>g</v>
      </c>
      <c r="N19" s="105"/>
      <c r="O19" s="106">
        <f>IF('recipe form'!J18=0," ",('recipe form'!J18/'recipe form'!$J$33)*'recipe form'!$Q$9)</f>
        <v>0.4</v>
      </c>
      <c r="P19" s="274"/>
      <c r="Q19" s="107" t="str">
        <f>IF('recipe form'!L18=0," ",'recipe form'!L18)</f>
        <v>g</v>
      </c>
      <c r="R19" s="108"/>
      <c r="S19" s="108"/>
      <c r="T19" s="109"/>
    </row>
    <row r="20" spans="1:20" ht="11.25" customHeight="1" x14ac:dyDescent="0.2">
      <c r="A20" s="63" t="s">
        <v>7</v>
      </c>
      <c r="B20" s="64"/>
      <c r="C20" s="256" t="str">
        <f>IF('recipe form'!C19=0," ",'recipe form'!C19)</f>
        <v>sour cream</v>
      </c>
      <c r="D20" s="256"/>
      <c r="E20" s="256"/>
      <c r="F20" s="256"/>
      <c r="G20" s="256"/>
      <c r="H20" s="256"/>
      <c r="I20" s="257"/>
      <c r="J20" s="104">
        <f>IF('recipe form'!J19=0," ",'recipe form'!J19)</f>
        <v>3</v>
      </c>
      <c r="K20" s="70"/>
      <c r="L20" s="98" t="str">
        <f>IF('recipe form'!L19=0," ",'recipe form'!L19)</f>
        <v>#</v>
      </c>
      <c r="N20" s="105"/>
      <c r="O20" s="106">
        <f>IF('recipe form'!J19=0," ",('recipe form'!J19/'recipe form'!$J$33)*'recipe form'!$Q$9)</f>
        <v>0.3</v>
      </c>
      <c r="P20" s="274"/>
      <c r="Q20" s="107" t="str">
        <f>IF('recipe form'!L19=0," ",'recipe form'!L19)</f>
        <v>#</v>
      </c>
      <c r="R20" s="108"/>
      <c r="S20" s="108"/>
      <c r="T20" s="109"/>
    </row>
    <row r="21" spans="1:20" ht="11.25" customHeight="1" x14ac:dyDescent="0.2">
      <c r="A21" s="63" t="s">
        <v>8</v>
      </c>
      <c r="B21" s="64"/>
      <c r="C21" s="256" t="str">
        <f>IF('recipe form'!C20=0," ",'recipe form'!C20)</f>
        <v>salt, pepper</v>
      </c>
      <c r="D21" s="256"/>
      <c r="E21" s="256"/>
      <c r="F21" s="256"/>
      <c r="G21" s="256"/>
      <c r="H21" s="256"/>
      <c r="I21" s="257"/>
      <c r="J21" s="104" t="str">
        <f>IF('recipe form'!J20=0," ",'recipe form'!J20)</f>
        <v xml:space="preserve"> </v>
      </c>
      <c r="K21" s="70"/>
      <c r="L21" s="98" t="str">
        <f>IF('recipe form'!L20=0," ",'recipe form'!L20)</f>
        <v xml:space="preserve"> </v>
      </c>
      <c r="N21" s="105"/>
      <c r="O21" s="106" t="str">
        <f>IF('recipe form'!J20=0," ",('recipe form'!J20/'recipe form'!$J$33)*'recipe form'!$Q$9)</f>
        <v xml:space="preserve"> </v>
      </c>
      <c r="P21" s="274"/>
      <c r="Q21" s="107" t="str">
        <f>IF('recipe form'!L20=0," ",'recipe form'!L20)</f>
        <v xml:space="preserve"> </v>
      </c>
      <c r="R21" s="108"/>
      <c r="S21" s="108"/>
      <c r="T21" s="109"/>
    </row>
    <row r="22" spans="1:20" ht="11.25" customHeight="1" x14ac:dyDescent="0.2">
      <c r="A22" s="63" t="s">
        <v>9</v>
      </c>
      <c r="B22" s="64"/>
      <c r="C22" s="256" t="str">
        <f>IF('recipe form'!C21=0," ",'recipe form'!C21)</f>
        <v>garlic</v>
      </c>
      <c r="D22" s="256"/>
      <c r="E22" s="256"/>
      <c r="F22" s="256"/>
      <c r="G22" s="256"/>
      <c r="H22" s="256"/>
      <c r="I22" s="257"/>
      <c r="J22" s="104">
        <f>IF('recipe form'!J21=0," ",'recipe form'!J21)</f>
        <v>1</v>
      </c>
      <c r="K22" s="70"/>
      <c r="L22" s="98" t="str">
        <f>IF('recipe form'!L21=0," ",'recipe form'!L21)</f>
        <v>c</v>
      </c>
      <c r="N22" s="105"/>
      <c r="O22" s="106">
        <f>IF('recipe form'!J21=0," ",('recipe form'!J21/'recipe form'!$J$33)*'recipe form'!$Q$9)</f>
        <v>0.1</v>
      </c>
      <c r="P22" s="274"/>
      <c r="Q22" s="107" t="str">
        <f>IF('recipe form'!L21=0," ",'recipe form'!L21)</f>
        <v>c</v>
      </c>
      <c r="R22" s="108"/>
      <c r="S22" s="108"/>
      <c r="T22" s="109"/>
    </row>
    <row r="23" spans="1:20" ht="11.25" customHeight="1" x14ac:dyDescent="0.2">
      <c r="A23" s="63" t="s">
        <v>17</v>
      </c>
      <c r="B23" s="64"/>
      <c r="C23" s="256" t="str">
        <f>IF('recipe form'!C22=0," ",'recipe form'!C22)</f>
        <v xml:space="preserve"> </v>
      </c>
      <c r="D23" s="256"/>
      <c r="E23" s="256"/>
      <c r="F23" s="256"/>
      <c r="G23" s="256"/>
      <c r="H23" s="256"/>
      <c r="I23" s="257"/>
      <c r="J23" s="104" t="str">
        <f>IF('recipe form'!J22=0," ",'recipe form'!J22)</f>
        <v xml:space="preserve"> </v>
      </c>
      <c r="K23" s="70"/>
      <c r="L23" s="98" t="str">
        <f>IF('recipe form'!L22=0," ",'recipe form'!L22)</f>
        <v xml:space="preserve"> </v>
      </c>
      <c r="N23" s="105"/>
      <c r="O23" s="106" t="str">
        <f>IF('recipe form'!J22=0," ",('recipe form'!J22/'recipe form'!$J$33)*'recipe form'!$Q$9)</f>
        <v xml:space="preserve"> </v>
      </c>
      <c r="P23" s="274"/>
      <c r="Q23" s="107" t="str">
        <f>IF('recipe form'!L22=0," ",'recipe form'!L22)</f>
        <v xml:space="preserve"> </v>
      </c>
      <c r="R23" s="108"/>
      <c r="S23" s="108"/>
      <c r="T23" s="109"/>
    </row>
    <row r="24" spans="1:20" ht="11.25" customHeight="1" x14ac:dyDescent="0.2">
      <c r="A24" s="63" t="s">
        <v>18</v>
      </c>
      <c r="B24" s="64"/>
      <c r="C24" s="256" t="str">
        <f>IF('recipe form'!C23=0," ",'recipe form'!C23)</f>
        <v xml:space="preserve"> </v>
      </c>
      <c r="D24" s="256"/>
      <c r="E24" s="256"/>
      <c r="F24" s="256"/>
      <c r="G24" s="256"/>
      <c r="H24" s="256"/>
      <c r="I24" s="257"/>
      <c r="J24" s="104" t="str">
        <f>IF('recipe form'!J23=0," ",'recipe form'!J23)</f>
        <v xml:space="preserve"> </v>
      </c>
      <c r="K24" s="70"/>
      <c r="L24" s="98" t="str">
        <f>IF('recipe form'!L23=0," ",'recipe form'!L23)</f>
        <v xml:space="preserve"> </v>
      </c>
      <c r="N24" s="105"/>
      <c r="O24" s="106" t="str">
        <f>IF('recipe form'!J23=0," ",('recipe form'!J23/'recipe form'!$J$33)*'recipe form'!$Q$9)</f>
        <v xml:space="preserve"> </v>
      </c>
      <c r="P24" s="274"/>
      <c r="Q24" s="107" t="str">
        <f>IF('recipe form'!L23=0," ",'recipe form'!L23)</f>
        <v xml:space="preserve"> </v>
      </c>
      <c r="R24" s="108"/>
      <c r="S24" s="108"/>
      <c r="T24" s="109"/>
    </row>
    <row r="25" spans="1:20" ht="11.25" customHeight="1" x14ac:dyDescent="0.2">
      <c r="A25" s="63" t="s">
        <v>19</v>
      </c>
      <c r="B25" s="64"/>
      <c r="C25" s="256" t="str">
        <f>IF('recipe form'!C24=0," ",'recipe form'!C24)</f>
        <v xml:space="preserve"> </v>
      </c>
      <c r="D25" s="256"/>
      <c r="E25" s="256"/>
      <c r="F25" s="256"/>
      <c r="G25" s="256"/>
      <c r="H25" s="256"/>
      <c r="I25" s="257"/>
      <c r="J25" s="104" t="str">
        <f>IF('recipe form'!J24=0," ",'recipe form'!J24)</f>
        <v xml:space="preserve"> </v>
      </c>
      <c r="K25" s="70"/>
      <c r="L25" s="98" t="str">
        <f>IF('recipe form'!L24=0," ",'recipe form'!L24)</f>
        <v xml:space="preserve"> </v>
      </c>
      <c r="N25" s="105"/>
      <c r="O25" s="106" t="str">
        <f>IF('recipe form'!J24=0," ",('recipe form'!J24/'recipe form'!$J$33)*'recipe form'!$Q$9)</f>
        <v xml:space="preserve"> </v>
      </c>
      <c r="P25" s="274"/>
      <c r="Q25" s="107" t="str">
        <f>IF('recipe form'!L24=0," ",'recipe form'!L24)</f>
        <v xml:space="preserve"> </v>
      </c>
      <c r="R25" s="108"/>
      <c r="S25" s="108"/>
      <c r="T25" s="109"/>
    </row>
    <row r="26" spans="1:20" ht="11.25" customHeight="1" x14ac:dyDescent="0.2">
      <c r="A26" s="63" t="s">
        <v>20</v>
      </c>
      <c r="B26" s="64"/>
      <c r="C26" s="256" t="str">
        <f>IF('recipe form'!C25=0," ",'recipe form'!C25)</f>
        <v xml:space="preserve"> </v>
      </c>
      <c r="D26" s="256"/>
      <c r="E26" s="256"/>
      <c r="F26" s="256"/>
      <c r="G26" s="256"/>
      <c r="H26" s="256"/>
      <c r="I26" s="257"/>
      <c r="J26" s="104" t="str">
        <f>IF('recipe form'!J25=0," ",'recipe form'!J25)</f>
        <v xml:space="preserve"> </v>
      </c>
      <c r="K26" s="70"/>
      <c r="L26" s="98" t="str">
        <f>IF('recipe form'!L25=0," ",'recipe form'!L25)</f>
        <v xml:space="preserve"> </v>
      </c>
      <c r="N26" s="105"/>
      <c r="O26" s="106" t="str">
        <f>IF('recipe form'!J25=0," ",('recipe form'!J25/'recipe form'!$J$33)*'recipe form'!$Q$9)</f>
        <v xml:space="preserve"> </v>
      </c>
      <c r="P26" s="274"/>
      <c r="Q26" s="107" t="str">
        <f>IF('recipe form'!L25=0," ",'recipe form'!L25)</f>
        <v xml:space="preserve"> </v>
      </c>
      <c r="R26" s="108"/>
      <c r="S26" s="108"/>
      <c r="T26" s="109"/>
    </row>
    <row r="27" spans="1:20" ht="11.25" customHeight="1" x14ac:dyDescent="0.2">
      <c r="A27" s="63" t="s">
        <v>21</v>
      </c>
      <c r="B27" s="64"/>
      <c r="C27" s="256" t="str">
        <f>IF('recipe form'!C26=0," ",'recipe form'!C26)</f>
        <v xml:space="preserve"> </v>
      </c>
      <c r="D27" s="256"/>
      <c r="E27" s="256"/>
      <c r="F27" s="256"/>
      <c r="G27" s="256"/>
      <c r="H27" s="256"/>
      <c r="I27" s="257"/>
      <c r="J27" s="104" t="str">
        <f>IF('recipe form'!J26=0," ",'recipe form'!J26)</f>
        <v xml:space="preserve"> </v>
      </c>
      <c r="K27" s="70"/>
      <c r="L27" s="98" t="str">
        <f>IF('recipe form'!L26=0," ",'recipe form'!L26)</f>
        <v xml:space="preserve"> </v>
      </c>
      <c r="N27" s="105"/>
      <c r="O27" s="106" t="str">
        <f>IF('recipe form'!J26=0," ",('recipe form'!J26/'recipe form'!$J$33)*'recipe form'!$Q$9)</f>
        <v xml:space="preserve"> </v>
      </c>
      <c r="P27" s="274"/>
      <c r="Q27" s="107" t="str">
        <f>IF('recipe form'!L26=0," ",'recipe form'!L26)</f>
        <v xml:space="preserve"> </v>
      </c>
      <c r="R27" s="108"/>
      <c r="S27" s="108"/>
      <c r="T27" s="109"/>
    </row>
    <row r="28" spans="1:20" ht="11.25" customHeight="1" x14ac:dyDescent="0.2">
      <c r="A28" s="63" t="s">
        <v>22</v>
      </c>
      <c r="B28" s="64"/>
      <c r="C28" s="256" t="str">
        <f>IF('recipe form'!C27=0," ",'recipe form'!C27)</f>
        <v xml:space="preserve"> </v>
      </c>
      <c r="D28" s="256"/>
      <c r="E28" s="256"/>
      <c r="F28" s="256"/>
      <c r="G28" s="256"/>
      <c r="H28" s="256"/>
      <c r="I28" s="257"/>
      <c r="J28" s="104" t="str">
        <f>IF('recipe form'!J27=0," ",'recipe form'!J27)</f>
        <v xml:space="preserve"> </v>
      </c>
      <c r="K28" s="70"/>
      <c r="L28" s="98" t="str">
        <f>IF('recipe form'!L27=0," ",'recipe form'!L27)</f>
        <v xml:space="preserve"> </v>
      </c>
      <c r="N28" s="105"/>
      <c r="O28" s="106" t="str">
        <f>IF('recipe form'!J27=0," ",('recipe form'!J27/'recipe form'!$J$33)*'recipe form'!$Q$9)</f>
        <v xml:space="preserve"> </v>
      </c>
      <c r="P28" s="274"/>
      <c r="Q28" s="107" t="str">
        <f>IF('recipe form'!L27=0," ",'recipe form'!L27)</f>
        <v xml:space="preserve"> </v>
      </c>
      <c r="R28" s="108"/>
      <c r="S28" s="108"/>
      <c r="T28" s="109"/>
    </row>
    <row r="29" spans="1:20" ht="11.25" customHeight="1" x14ac:dyDescent="0.2">
      <c r="A29" s="63" t="s">
        <v>23</v>
      </c>
      <c r="B29" s="64"/>
      <c r="C29" s="256" t="str">
        <f>IF('recipe form'!C28=0," ",'recipe form'!C28)</f>
        <v xml:space="preserve"> </v>
      </c>
      <c r="D29" s="256"/>
      <c r="E29" s="256"/>
      <c r="F29" s="256"/>
      <c r="G29" s="256"/>
      <c r="H29" s="256"/>
      <c r="I29" s="257"/>
      <c r="J29" s="104" t="str">
        <f>IF('recipe form'!J28=0," ",'recipe form'!J28)</f>
        <v xml:space="preserve"> </v>
      </c>
      <c r="K29" s="70"/>
      <c r="L29" s="98" t="str">
        <f>IF('recipe form'!L28=0," ",'recipe form'!L28)</f>
        <v xml:space="preserve"> </v>
      </c>
      <c r="N29" s="105"/>
      <c r="O29" s="106" t="str">
        <f>IF('recipe form'!J28=0," ",('recipe form'!J28/'recipe form'!$J$33)*'recipe form'!$Q$9)</f>
        <v xml:space="preserve"> </v>
      </c>
      <c r="P29" s="274"/>
      <c r="Q29" s="107" t="str">
        <f>IF('recipe form'!L28=0," ",'recipe form'!L28)</f>
        <v xml:space="preserve"> </v>
      </c>
      <c r="R29" s="108"/>
      <c r="S29" s="108"/>
      <c r="T29" s="109"/>
    </row>
    <row r="30" spans="1:20" ht="11.25" customHeight="1" x14ac:dyDescent="0.2">
      <c r="A30" s="63" t="s">
        <v>24</v>
      </c>
      <c r="B30" s="64"/>
      <c r="C30" s="256" t="str">
        <f>IF('recipe form'!C29=0," ",'recipe form'!C29)</f>
        <v xml:space="preserve"> </v>
      </c>
      <c r="D30" s="256"/>
      <c r="E30" s="256"/>
      <c r="F30" s="256"/>
      <c r="G30" s="256"/>
      <c r="H30" s="256"/>
      <c r="I30" s="257"/>
      <c r="J30" s="104" t="str">
        <f>IF('recipe form'!J29=0," ",'recipe form'!J29)</f>
        <v xml:space="preserve"> </v>
      </c>
      <c r="K30" s="70"/>
      <c r="L30" s="98" t="str">
        <f>IF('recipe form'!L29=0," ",'recipe form'!L29)</f>
        <v xml:space="preserve"> </v>
      </c>
      <c r="N30" s="105"/>
      <c r="O30" s="106" t="str">
        <f>IF('recipe form'!J29=0," ",('recipe form'!J29/'recipe form'!$J$33)*'recipe form'!$Q$9)</f>
        <v xml:space="preserve"> </v>
      </c>
      <c r="P30" s="274"/>
      <c r="Q30" s="107" t="str">
        <f>IF('recipe form'!L29=0," ",'recipe form'!L29)</f>
        <v xml:space="preserve"> </v>
      </c>
      <c r="R30" s="108"/>
      <c r="S30" s="108"/>
      <c r="T30" s="109"/>
    </row>
    <row r="31" spans="1:20" ht="11.25" customHeight="1" x14ac:dyDescent="0.2">
      <c r="A31" s="63" t="s">
        <v>25</v>
      </c>
      <c r="B31" s="64"/>
      <c r="C31" s="256" t="str">
        <f>IF('recipe form'!C30=0," ",'recipe form'!C30)</f>
        <v xml:space="preserve"> </v>
      </c>
      <c r="D31" s="256"/>
      <c r="E31" s="256"/>
      <c r="F31" s="256"/>
      <c r="G31" s="256"/>
      <c r="H31" s="256"/>
      <c r="I31" s="257"/>
      <c r="J31" s="104" t="str">
        <f>IF('recipe form'!J30=0," ",'recipe form'!J30)</f>
        <v xml:space="preserve"> </v>
      </c>
      <c r="K31" s="70"/>
      <c r="L31" s="98" t="str">
        <f>IF('recipe form'!L30=0," ",'recipe form'!L30)</f>
        <v xml:space="preserve"> </v>
      </c>
      <c r="N31" s="105"/>
      <c r="O31" s="106" t="str">
        <f>IF('recipe form'!J30=0," ",('recipe form'!J30/'recipe form'!$J$33)*'recipe form'!$Q$9)</f>
        <v xml:space="preserve"> </v>
      </c>
      <c r="P31" s="274"/>
      <c r="Q31" s="107" t="str">
        <f>IF('recipe form'!L30=0," ",'recipe form'!L30)</f>
        <v xml:space="preserve"> </v>
      </c>
      <c r="R31" s="108"/>
      <c r="S31" s="108"/>
      <c r="T31" s="109"/>
    </row>
    <row r="32" spans="1:20" ht="11.25" customHeight="1" x14ac:dyDescent="0.2">
      <c r="A32" s="65" t="s">
        <v>26</v>
      </c>
      <c r="B32" s="66"/>
      <c r="C32" s="261" t="str">
        <f>IF('recipe form'!C31=0," ",'recipe form'!C31)</f>
        <v xml:space="preserve"> </v>
      </c>
      <c r="D32" s="261"/>
      <c r="E32" s="261"/>
      <c r="F32" s="261"/>
      <c r="G32" s="261"/>
      <c r="H32" s="261"/>
      <c r="I32" s="262"/>
      <c r="J32" s="104" t="str">
        <f>IF('recipe form'!J31=0," ",'recipe form'!J31)</f>
        <v xml:space="preserve"> </v>
      </c>
      <c r="K32" s="71"/>
      <c r="L32" s="98" t="str">
        <f>IF('recipe form'!L31=0," ",'recipe form'!L31)</f>
        <v xml:space="preserve"> </v>
      </c>
      <c r="N32" s="110"/>
      <c r="O32" s="111" t="str">
        <f>IF('recipe form'!J31=0," ",('recipe form'!J31/'recipe form'!$J$33)*'recipe form'!$Q$9)</f>
        <v xml:space="preserve"> </v>
      </c>
      <c r="P32" s="275"/>
      <c r="Q32" s="112" t="str">
        <f>IF('recipe form'!L31=0," ",'recipe form'!L31)</f>
        <v xml:space="preserve"> </v>
      </c>
      <c r="R32" s="113"/>
      <c r="S32" s="113"/>
      <c r="T32" s="114"/>
    </row>
    <row r="33" spans="1:20" ht="5.25" customHeight="1" thickBot="1" x14ac:dyDescent="0.25">
      <c r="A33" s="72"/>
      <c r="B33" s="73"/>
      <c r="C33" s="24"/>
      <c r="D33" s="24"/>
      <c r="E33" s="24"/>
      <c r="F33" s="24"/>
      <c r="G33" s="24"/>
      <c r="H33" s="24"/>
      <c r="I33" s="24"/>
      <c r="J33" s="115"/>
      <c r="K33" s="26"/>
      <c r="L33" s="116"/>
    </row>
    <row r="34" spans="1:20" ht="12.75" customHeight="1" thickBot="1" x14ac:dyDescent="0.25">
      <c r="A34" s="24"/>
      <c r="B34" s="24"/>
      <c r="C34" s="24"/>
      <c r="D34" s="24"/>
      <c r="E34" s="115"/>
      <c r="F34" s="26"/>
      <c r="G34" s="116"/>
      <c r="H34" s="117"/>
      <c r="I34" s="276" t="s">
        <v>39</v>
      </c>
      <c r="J34" s="276"/>
      <c r="K34" s="118"/>
      <c r="L34" s="119">
        <f>IF('recipe form'!J33=0," ",'recipe form'!J33)</f>
        <v>150</v>
      </c>
    </row>
    <row r="35" spans="1:20" ht="5.25" customHeight="1" x14ac:dyDescent="0.2">
      <c r="A35" s="72"/>
      <c r="B35" s="73"/>
      <c r="C35" s="24"/>
      <c r="D35" s="24"/>
      <c r="E35" s="24"/>
      <c r="F35" s="24"/>
      <c r="G35" s="24"/>
      <c r="H35" s="24"/>
      <c r="I35" s="24"/>
      <c r="J35" s="115"/>
      <c r="K35" s="26"/>
      <c r="L35" s="116"/>
    </row>
    <row r="36" spans="1:20" ht="5.25" customHeight="1" thickBot="1" x14ac:dyDescent="0.25"/>
    <row r="37" spans="1:20" s="120" customFormat="1" ht="10.7" customHeight="1" x14ac:dyDescent="0.15">
      <c r="A37" s="258" t="s">
        <v>12</v>
      </c>
      <c r="B37" s="259"/>
      <c r="C37" s="259"/>
      <c r="D37" s="259"/>
      <c r="E37" s="259"/>
      <c r="F37" s="259"/>
      <c r="G37" s="259"/>
      <c r="H37" s="259"/>
      <c r="I37" s="259"/>
      <c r="J37" s="259"/>
      <c r="K37" s="259"/>
      <c r="L37" s="259"/>
      <c r="M37" s="259"/>
      <c r="N37" s="259"/>
      <c r="O37" s="259"/>
      <c r="P37" s="259"/>
      <c r="Q37" s="259"/>
      <c r="R37" s="259"/>
      <c r="S37" s="259"/>
      <c r="T37" s="260"/>
    </row>
    <row r="38" spans="1:20" s="120" customFormat="1" ht="10.7" customHeight="1" x14ac:dyDescent="0.15">
      <c r="A38" s="253" t="str">
        <f>IF('recipe form'!A38=0," ",'recipe form'!A38)</f>
        <v>Saute beef in a bit of oil till browned.  Add mushrooms &amp; onions &amp; cook till very soft.  Add remaining ingredients &amp; simmer till</v>
      </c>
      <c r="B38" s="254"/>
      <c r="C38" s="254"/>
      <c r="D38" s="254"/>
      <c r="E38" s="254"/>
      <c r="F38" s="254"/>
      <c r="G38" s="254"/>
      <c r="H38" s="254"/>
      <c r="I38" s="254"/>
      <c r="J38" s="254"/>
      <c r="K38" s="254"/>
      <c r="L38" s="254"/>
      <c r="M38" s="254"/>
      <c r="N38" s="254"/>
      <c r="O38" s="254"/>
      <c r="P38" s="254"/>
      <c r="Q38" s="254"/>
      <c r="R38" s="254"/>
      <c r="S38" s="254"/>
      <c r="T38" s="255"/>
    </row>
    <row r="39" spans="1:20" s="120" customFormat="1" ht="10.7" customHeight="1" x14ac:dyDescent="0.15">
      <c r="A39" s="253" t="str">
        <f>IF('recipe form'!A39=0," ",'recipe form'!A39)</f>
        <v>meat is tender, at least 2 hours.  Taste &amp; adjust seasonings. Serve over rice, noodles or potatoes.</v>
      </c>
      <c r="B39" s="254"/>
      <c r="C39" s="254"/>
      <c r="D39" s="254"/>
      <c r="E39" s="254"/>
      <c r="F39" s="254"/>
      <c r="G39" s="254"/>
      <c r="H39" s="254"/>
      <c r="I39" s="254"/>
      <c r="J39" s="254"/>
      <c r="K39" s="254"/>
      <c r="L39" s="254"/>
      <c r="M39" s="254"/>
      <c r="N39" s="254"/>
      <c r="O39" s="254"/>
      <c r="P39" s="254"/>
      <c r="Q39" s="254"/>
      <c r="R39" s="254"/>
      <c r="S39" s="254"/>
      <c r="T39" s="255"/>
    </row>
    <row r="40" spans="1:20" s="120" customFormat="1" ht="10.7" customHeight="1" x14ac:dyDescent="0.15">
      <c r="A40" s="253" t="str">
        <f>IF('recipe form'!A40=0," ",'recipe form'!A40)</f>
        <v xml:space="preserve"> </v>
      </c>
      <c r="B40" s="254"/>
      <c r="C40" s="254"/>
      <c r="D40" s="254"/>
      <c r="E40" s="254"/>
      <c r="F40" s="254"/>
      <c r="G40" s="254"/>
      <c r="H40" s="254"/>
      <c r="I40" s="254"/>
      <c r="J40" s="254"/>
      <c r="K40" s="254"/>
      <c r="L40" s="254"/>
      <c r="M40" s="254"/>
      <c r="N40" s="254"/>
      <c r="O40" s="254"/>
      <c r="P40" s="254"/>
      <c r="Q40" s="254"/>
      <c r="R40" s="254"/>
      <c r="S40" s="254"/>
      <c r="T40" s="255"/>
    </row>
    <row r="41" spans="1:20" s="120" customFormat="1" ht="10.7" customHeight="1" x14ac:dyDescent="0.15">
      <c r="A41" s="253" t="str">
        <f>IF('recipe form'!A41=0," ",'recipe form'!A41)</f>
        <v xml:space="preserve"> </v>
      </c>
      <c r="B41" s="254"/>
      <c r="C41" s="254"/>
      <c r="D41" s="254"/>
      <c r="E41" s="254"/>
      <c r="F41" s="254"/>
      <c r="G41" s="254"/>
      <c r="H41" s="254"/>
      <c r="I41" s="254"/>
      <c r="J41" s="254"/>
      <c r="K41" s="254"/>
      <c r="L41" s="254"/>
      <c r="M41" s="254"/>
      <c r="N41" s="254"/>
      <c r="O41" s="254"/>
      <c r="P41" s="254"/>
      <c r="Q41" s="254"/>
      <c r="R41" s="254"/>
      <c r="S41" s="254"/>
      <c r="T41" s="255"/>
    </row>
    <row r="42" spans="1:20" s="120" customFormat="1" ht="10.7" customHeight="1" x14ac:dyDescent="0.15">
      <c r="A42" s="253" t="str">
        <f>IF('recipe form'!A42=0," ",'recipe form'!A42)</f>
        <v xml:space="preserve"> </v>
      </c>
      <c r="B42" s="254"/>
      <c r="C42" s="254"/>
      <c r="D42" s="254"/>
      <c r="E42" s="254"/>
      <c r="F42" s="254"/>
      <c r="G42" s="254"/>
      <c r="H42" s="254"/>
      <c r="I42" s="254"/>
      <c r="J42" s="254"/>
      <c r="K42" s="254"/>
      <c r="L42" s="254"/>
      <c r="M42" s="254"/>
      <c r="N42" s="254"/>
      <c r="O42" s="254"/>
      <c r="P42" s="254"/>
      <c r="Q42" s="254"/>
      <c r="R42" s="254"/>
      <c r="S42" s="254"/>
      <c r="T42" s="255"/>
    </row>
    <row r="43" spans="1:20" s="120" customFormat="1" ht="10.7" customHeight="1" x14ac:dyDescent="0.15">
      <c r="A43" s="253" t="str">
        <f>IF('recipe form'!A43=0," ",'recipe form'!A43)</f>
        <v xml:space="preserve"> </v>
      </c>
      <c r="B43" s="254"/>
      <c r="C43" s="254"/>
      <c r="D43" s="254"/>
      <c r="E43" s="254"/>
      <c r="F43" s="254"/>
      <c r="G43" s="254"/>
      <c r="H43" s="254"/>
      <c r="I43" s="254"/>
      <c r="J43" s="254"/>
      <c r="K43" s="254"/>
      <c r="L43" s="254"/>
      <c r="M43" s="254"/>
      <c r="N43" s="254"/>
      <c r="O43" s="254"/>
      <c r="P43" s="254"/>
      <c r="Q43" s="254"/>
      <c r="R43" s="254"/>
      <c r="S43" s="254"/>
      <c r="T43" s="255"/>
    </row>
    <row r="44" spans="1:20" s="120" customFormat="1" ht="10.7" customHeight="1" x14ac:dyDescent="0.15">
      <c r="A44" s="253" t="str">
        <f>IF('recipe form'!A44=0," ",'recipe form'!A44)</f>
        <v xml:space="preserve"> </v>
      </c>
      <c r="B44" s="254"/>
      <c r="C44" s="254"/>
      <c r="D44" s="254"/>
      <c r="E44" s="254"/>
      <c r="F44" s="254"/>
      <c r="G44" s="254"/>
      <c r="H44" s="254"/>
      <c r="I44" s="254"/>
      <c r="J44" s="254"/>
      <c r="K44" s="254"/>
      <c r="L44" s="254"/>
      <c r="M44" s="254"/>
      <c r="N44" s="254"/>
      <c r="O44" s="254"/>
      <c r="P44" s="254"/>
      <c r="Q44" s="254"/>
      <c r="R44" s="254"/>
      <c r="S44" s="254"/>
      <c r="T44" s="255"/>
    </row>
    <row r="45" spans="1:20" s="120" customFormat="1" ht="10.7" customHeight="1" x14ac:dyDescent="0.15">
      <c r="A45" s="253" t="str">
        <f>IF('recipe form'!A45=0," ",'recipe form'!A45)</f>
        <v xml:space="preserve"> </v>
      </c>
      <c r="B45" s="254"/>
      <c r="C45" s="254"/>
      <c r="D45" s="254"/>
      <c r="E45" s="254"/>
      <c r="F45" s="254"/>
      <c r="G45" s="254"/>
      <c r="H45" s="254"/>
      <c r="I45" s="254"/>
      <c r="J45" s="254"/>
      <c r="K45" s="254"/>
      <c r="L45" s="254"/>
      <c r="M45" s="254"/>
      <c r="N45" s="254"/>
      <c r="O45" s="254"/>
      <c r="P45" s="254"/>
      <c r="Q45" s="254"/>
      <c r="R45" s="254"/>
      <c r="S45" s="254"/>
      <c r="T45" s="255"/>
    </row>
    <row r="46" spans="1:20" s="120" customFormat="1" ht="10.7" customHeight="1" x14ac:dyDescent="0.15">
      <c r="A46" s="253" t="str">
        <f>IF('recipe form'!A46=0," ",'recipe form'!A46)</f>
        <v xml:space="preserve"> </v>
      </c>
      <c r="B46" s="254"/>
      <c r="C46" s="254"/>
      <c r="D46" s="254"/>
      <c r="E46" s="254"/>
      <c r="F46" s="254"/>
      <c r="G46" s="254"/>
      <c r="H46" s="254"/>
      <c r="I46" s="254"/>
      <c r="J46" s="254"/>
      <c r="K46" s="254"/>
      <c r="L46" s="254"/>
      <c r="M46" s="254"/>
      <c r="N46" s="254"/>
      <c r="O46" s="254"/>
      <c r="P46" s="254"/>
      <c r="Q46" s="254"/>
      <c r="R46" s="254"/>
      <c r="S46" s="254"/>
      <c r="T46" s="255"/>
    </row>
    <row r="47" spans="1:20" s="120" customFormat="1" ht="10.7" customHeight="1" x14ac:dyDescent="0.15">
      <c r="A47" s="253" t="str">
        <f>IF('recipe form'!A48:K48=0," ",'recipe form'!A48:K48)</f>
        <v xml:space="preserve"> </v>
      </c>
      <c r="B47" s="254"/>
      <c r="C47" s="254"/>
      <c r="D47" s="254"/>
      <c r="E47" s="254"/>
      <c r="F47" s="254"/>
      <c r="G47" s="254"/>
      <c r="H47" s="254"/>
      <c r="I47" s="254"/>
      <c r="J47" s="254"/>
      <c r="K47" s="254"/>
      <c r="L47" s="254"/>
      <c r="M47" s="254"/>
      <c r="N47" s="254"/>
      <c r="O47" s="254"/>
      <c r="P47" s="254"/>
      <c r="Q47" s="254"/>
      <c r="R47" s="254"/>
      <c r="S47" s="254"/>
      <c r="T47" s="255"/>
    </row>
    <row r="48" spans="1:20" s="120" customFormat="1" ht="10.7" customHeight="1" x14ac:dyDescent="0.15">
      <c r="A48" s="253" t="str">
        <f>IF('additional instructions'!A17=0," ",'additional instructions'!A17)</f>
        <v xml:space="preserve"> </v>
      </c>
      <c r="B48" s="254"/>
      <c r="C48" s="254"/>
      <c r="D48" s="254"/>
      <c r="E48" s="254"/>
      <c r="F48" s="254"/>
      <c r="G48" s="254"/>
      <c r="H48" s="254"/>
      <c r="I48" s="254"/>
      <c r="J48" s="254"/>
      <c r="K48" s="254"/>
      <c r="L48" s="254"/>
      <c r="M48" s="254"/>
      <c r="N48" s="254"/>
      <c r="O48" s="254"/>
      <c r="P48" s="254"/>
      <c r="Q48" s="254"/>
      <c r="R48" s="254"/>
      <c r="S48" s="254"/>
      <c r="T48" s="255"/>
    </row>
    <row r="49" spans="1:20" s="120" customFormat="1" ht="10.7" customHeight="1" x14ac:dyDescent="0.15">
      <c r="A49" s="253" t="str">
        <f>IF('additional instructions'!A18=0," ",'additional instructions'!A18)</f>
        <v xml:space="preserve"> </v>
      </c>
      <c r="B49" s="254"/>
      <c r="C49" s="254"/>
      <c r="D49" s="254"/>
      <c r="E49" s="254"/>
      <c r="F49" s="254"/>
      <c r="G49" s="254"/>
      <c r="H49" s="254"/>
      <c r="I49" s="254"/>
      <c r="J49" s="254"/>
      <c r="K49" s="254"/>
      <c r="L49" s="254"/>
      <c r="M49" s="254"/>
      <c r="N49" s="254"/>
      <c r="O49" s="254"/>
      <c r="P49" s="254"/>
      <c r="Q49" s="254"/>
      <c r="R49" s="254"/>
      <c r="S49" s="254"/>
      <c r="T49" s="255"/>
    </row>
    <row r="50" spans="1:20" s="120" customFormat="1" ht="10.7" customHeight="1" x14ac:dyDescent="0.15">
      <c r="A50" s="253" t="str">
        <f>IF('additional instructions'!A19=0," ",'additional instructions'!A19)</f>
        <v xml:space="preserve"> </v>
      </c>
      <c r="B50" s="254"/>
      <c r="C50" s="254"/>
      <c r="D50" s="254"/>
      <c r="E50" s="254"/>
      <c r="F50" s="254"/>
      <c r="G50" s="254"/>
      <c r="H50" s="254"/>
      <c r="I50" s="254"/>
      <c r="J50" s="254"/>
      <c r="K50" s="254"/>
      <c r="L50" s="254"/>
      <c r="M50" s="254"/>
      <c r="N50" s="254"/>
      <c r="O50" s="254"/>
      <c r="P50" s="254"/>
      <c r="Q50" s="254"/>
      <c r="R50" s="254"/>
      <c r="S50" s="254"/>
      <c r="T50" s="255"/>
    </row>
    <row r="51" spans="1:20" s="120" customFormat="1" ht="10.7" customHeight="1" x14ac:dyDescent="0.15">
      <c r="A51" s="253" t="str">
        <f>IF('additional instructions'!A20=0," ",'additional instructions'!A20)</f>
        <v xml:space="preserve"> </v>
      </c>
      <c r="B51" s="254"/>
      <c r="C51" s="254"/>
      <c r="D51" s="254"/>
      <c r="E51" s="254"/>
      <c r="F51" s="254"/>
      <c r="G51" s="254"/>
      <c r="H51" s="254"/>
      <c r="I51" s="254"/>
      <c r="J51" s="254"/>
      <c r="K51" s="254"/>
      <c r="L51" s="254"/>
      <c r="M51" s="254"/>
      <c r="N51" s="254"/>
      <c r="O51" s="254"/>
      <c r="P51" s="254"/>
      <c r="Q51" s="254"/>
      <c r="R51" s="254"/>
      <c r="S51" s="254"/>
      <c r="T51" s="255"/>
    </row>
    <row r="52" spans="1:20" s="120" customFormat="1" ht="10.7" customHeight="1" x14ac:dyDescent="0.15">
      <c r="A52" s="253" t="str">
        <f>IF('additional instructions'!A21=0," ",'additional instructions'!A21)</f>
        <v xml:space="preserve"> </v>
      </c>
      <c r="B52" s="254"/>
      <c r="C52" s="254"/>
      <c r="D52" s="254"/>
      <c r="E52" s="254"/>
      <c r="F52" s="254"/>
      <c r="G52" s="254"/>
      <c r="H52" s="254"/>
      <c r="I52" s="254"/>
      <c r="J52" s="254"/>
      <c r="K52" s="254"/>
      <c r="L52" s="254"/>
      <c r="M52" s="254"/>
      <c r="N52" s="254"/>
      <c r="O52" s="254"/>
      <c r="P52" s="254"/>
      <c r="Q52" s="254"/>
      <c r="R52" s="254"/>
      <c r="S52" s="254"/>
      <c r="T52" s="255"/>
    </row>
    <row r="53" spans="1:20" s="120" customFormat="1" ht="10.7" customHeight="1" x14ac:dyDescent="0.15">
      <c r="A53" s="253" t="str">
        <f>IF('additional instructions'!A22=0," ",'additional instructions'!A22)</f>
        <v xml:space="preserve"> </v>
      </c>
      <c r="B53" s="254"/>
      <c r="C53" s="254"/>
      <c r="D53" s="254"/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5"/>
    </row>
    <row r="54" spans="1:20" s="120" customFormat="1" ht="10.7" customHeight="1" thickBot="1" x14ac:dyDescent="0.2">
      <c r="A54" s="245" t="str">
        <f>IF('additional instructions'!A23=0," ",'additional instructions'!A23)</f>
        <v xml:space="preserve"> </v>
      </c>
      <c r="B54" s="246"/>
      <c r="C54" s="246"/>
      <c r="D54" s="246"/>
      <c r="E54" s="246"/>
      <c r="F54" s="246"/>
      <c r="G54" s="246"/>
      <c r="H54" s="246"/>
      <c r="I54" s="246"/>
      <c r="J54" s="246"/>
      <c r="K54" s="246"/>
      <c r="L54" s="246"/>
      <c r="M54" s="246"/>
      <c r="N54" s="246"/>
      <c r="O54" s="246"/>
      <c r="P54" s="246"/>
      <c r="Q54" s="246"/>
      <c r="R54" s="246"/>
      <c r="S54" s="246"/>
      <c r="T54" s="247"/>
    </row>
    <row r="55" spans="1:20" ht="5.25" customHeight="1" thickBot="1" x14ac:dyDescent="0.25"/>
    <row r="56" spans="1:20" ht="10.5" customHeight="1" x14ac:dyDescent="0.2">
      <c r="A56" s="263" t="s">
        <v>13</v>
      </c>
      <c r="B56" s="264"/>
      <c r="C56" s="264"/>
      <c r="D56" s="264"/>
      <c r="E56" s="264"/>
      <c r="F56" s="264"/>
      <c r="G56" s="264"/>
      <c r="H56" s="264"/>
      <c r="I56" s="264"/>
      <c r="J56" s="264"/>
      <c r="K56" s="264"/>
      <c r="L56" s="264"/>
      <c r="M56" s="264"/>
      <c r="N56" s="264"/>
      <c r="O56" s="264"/>
      <c r="P56" s="264"/>
      <c r="Q56" s="264"/>
      <c r="R56" s="264"/>
      <c r="S56" s="264"/>
      <c r="T56" s="265"/>
    </row>
    <row r="57" spans="1:20" s="62" customFormat="1" ht="10.5" customHeight="1" x14ac:dyDescent="0.2">
      <c r="A57" s="266" t="str">
        <f>IF('recipe form'!A52=0," ",'recipe form'!A52)</f>
        <v>Serving size is 3/4 c. for 2 oz protein + 1/4 c. cooked vegetable.</v>
      </c>
      <c r="B57" s="267"/>
      <c r="C57" s="267"/>
      <c r="D57" s="267"/>
      <c r="E57" s="267"/>
      <c r="F57" s="267"/>
      <c r="G57" s="267"/>
      <c r="H57" s="267"/>
      <c r="I57" s="267"/>
      <c r="J57" s="267"/>
      <c r="K57" s="267"/>
      <c r="L57" s="267"/>
      <c r="M57" s="267"/>
      <c r="N57" s="267"/>
      <c r="O57" s="267"/>
      <c r="P57" s="267"/>
      <c r="Q57" s="267"/>
      <c r="R57" s="267"/>
      <c r="S57" s="267"/>
      <c r="T57" s="268"/>
    </row>
    <row r="58" spans="1:20" ht="10.5" customHeight="1" x14ac:dyDescent="0.2">
      <c r="A58" s="266" t="str">
        <f>IF('recipe form'!A53=0," ",'recipe form'!A53)</f>
        <v xml:space="preserve"> </v>
      </c>
      <c r="B58" s="267"/>
      <c r="C58" s="267"/>
      <c r="D58" s="267"/>
      <c r="E58" s="267"/>
      <c r="F58" s="267"/>
      <c r="G58" s="267"/>
      <c r="H58" s="267"/>
      <c r="I58" s="267"/>
      <c r="J58" s="267"/>
      <c r="K58" s="267"/>
      <c r="L58" s="267"/>
      <c r="M58" s="267"/>
      <c r="N58" s="267"/>
      <c r="O58" s="267"/>
      <c r="P58" s="267"/>
      <c r="Q58" s="267"/>
      <c r="R58" s="267"/>
      <c r="S58" s="267"/>
      <c r="T58" s="268"/>
    </row>
    <row r="59" spans="1:20" ht="10.5" customHeight="1" x14ac:dyDescent="0.2">
      <c r="A59" s="253" t="str">
        <f>IF('recipe form'!A54:Q54=0," ",'recipe form'!A54:Q54)</f>
        <v xml:space="preserve"> </v>
      </c>
      <c r="B59" s="254"/>
      <c r="C59" s="254"/>
      <c r="D59" s="254"/>
      <c r="E59" s="254"/>
      <c r="F59" s="254"/>
      <c r="G59" s="254"/>
      <c r="H59" s="254"/>
      <c r="I59" s="254"/>
      <c r="J59" s="254"/>
      <c r="K59" s="254"/>
      <c r="L59" s="254"/>
      <c r="M59" s="254"/>
      <c r="N59" s="254"/>
      <c r="O59" s="254"/>
      <c r="P59" s="254"/>
      <c r="Q59" s="254"/>
      <c r="R59" s="254"/>
      <c r="S59" s="254"/>
      <c r="T59" s="255"/>
    </row>
    <row r="60" spans="1:20" ht="10.5" customHeight="1" x14ac:dyDescent="0.2">
      <c r="A60" s="253" t="str">
        <f>IF('recipe form'!A55:Q55=0," ",'recipe form'!A55:Q55)</f>
        <v xml:space="preserve"> </v>
      </c>
      <c r="B60" s="254"/>
      <c r="C60" s="254"/>
      <c r="D60" s="254"/>
      <c r="E60" s="254"/>
      <c r="F60" s="254"/>
      <c r="G60" s="254"/>
      <c r="H60" s="254"/>
      <c r="I60" s="254"/>
      <c r="J60" s="254"/>
      <c r="K60" s="254"/>
      <c r="L60" s="254"/>
      <c r="M60" s="254"/>
      <c r="N60" s="254"/>
      <c r="O60" s="254"/>
      <c r="P60" s="254"/>
      <c r="Q60" s="254"/>
      <c r="R60" s="254"/>
      <c r="S60" s="254"/>
      <c r="T60" s="255"/>
    </row>
    <row r="61" spans="1:20" ht="10.5" customHeight="1" x14ac:dyDescent="0.2">
      <c r="A61" s="253" t="str">
        <f>IF('recipe form'!A56:Q56=0," ",'recipe form'!A56:Q56)</f>
        <v xml:space="preserve"> </v>
      </c>
      <c r="B61" s="254"/>
      <c r="C61" s="254"/>
      <c r="D61" s="254"/>
      <c r="E61" s="254"/>
      <c r="F61" s="254"/>
      <c r="G61" s="254"/>
      <c r="H61" s="254"/>
      <c r="I61" s="254"/>
      <c r="J61" s="254"/>
      <c r="K61" s="254"/>
      <c r="L61" s="254"/>
      <c r="M61" s="254"/>
      <c r="N61" s="254"/>
      <c r="O61" s="254"/>
      <c r="P61" s="254"/>
      <c r="Q61" s="254"/>
      <c r="R61" s="254"/>
      <c r="S61" s="254"/>
      <c r="T61" s="255"/>
    </row>
    <row r="62" spans="1:20" ht="10.5" customHeight="1" x14ac:dyDescent="0.2">
      <c r="A62" s="253" t="str">
        <f>IF('recipe form'!A57:Q57=0," ",'recipe form'!A57:Q57)</f>
        <v xml:space="preserve"> </v>
      </c>
      <c r="B62" s="254"/>
      <c r="C62" s="254"/>
      <c r="D62" s="254"/>
      <c r="E62" s="254"/>
      <c r="F62" s="254"/>
      <c r="G62" s="254"/>
      <c r="H62" s="254"/>
      <c r="I62" s="254"/>
      <c r="J62" s="254"/>
      <c r="K62" s="254"/>
      <c r="L62" s="254"/>
      <c r="M62" s="254"/>
      <c r="N62" s="254"/>
      <c r="O62" s="254"/>
      <c r="P62" s="254"/>
      <c r="Q62" s="254"/>
      <c r="R62" s="254"/>
      <c r="S62" s="254"/>
      <c r="T62" s="255"/>
    </row>
    <row r="63" spans="1:20" ht="10.5" customHeight="1" x14ac:dyDescent="0.2">
      <c r="A63" s="253" t="str">
        <f>IF('recipe form'!A58:Q58=0," ",'recipe form'!A58:Q58)</f>
        <v xml:space="preserve"> </v>
      </c>
      <c r="B63" s="254"/>
      <c r="C63" s="254"/>
      <c r="D63" s="254"/>
      <c r="E63" s="254"/>
      <c r="F63" s="254"/>
      <c r="G63" s="254"/>
      <c r="H63" s="254"/>
      <c r="I63" s="254"/>
      <c r="J63" s="254"/>
      <c r="K63" s="254"/>
      <c r="L63" s="254"/>
      <c r="M63" s="254"/>
      <c r="N63" s="254"/>
      <c r="O63" s="254"/>
      <c r="P63" s="254"/>
      <c r="Q63" s="254"/>
      <c r="R63" s="254"/>
      <c r="S63" s="254"/>
      <c r="T63" s="255"/>
    </row>
    <row r="64" spans="1:20" ht="10.5" customHeight="1" x14ac:dyDescent="0.2">
      <c r="A64" s="253" t="str">
        <f>IF('recipe form'!A59:Q59=0," ",'recipe form'!A59:Q59)</f>
        <v xml:space="preserve"> </v>
      </c>
      <c r="B64" s="254"/>
      <c r="C64" s="254"/>
      <c r="D64" s="254"/>
      <c r="E64" s="254"/>
      <c r="F64" s="254"/>
      <c r="G64" s="254"/>
      <c r="H64" s="254"/>
      <c r="I64" s="254"/>
      <c r="J64" s="254"/>
      <c r="K64" s="254"/>
      <c r="L64" s="254"/>
      <c r="M64" s="254"/>
      <c r="N64" s="254"/>
      <c r="O64" s="254"/>
      <c r="P64" s="254"/>
      <c r="Q64" s="254"/>
      <c r="R64" s="254"/>
      <c r="S64" s="254"/>
      <c r="T64" s="255"/>
    </row>
    <row r="65" spans="1:20" ht="10.5" customHeight="1" x14ac:dyDescent="0.2">
      <c r="A65" s="253" t="str">
        <f>IF('recipe form'!A60:K60=0," ",'recipe form'!A60:K60)</f>
        <v xml:space="preserve"> </v>
      </c>
      <c r="B65" s="254"/>
      <c r="C65" s="254"/>
      <c r="D65" s="254"/>
      <c r="E65" s="254"/>
      <c r="F65" s="254"/>
      <c r="G65" s="254"/>
      <c r="H65" s="254"/>
      <c r="I65" s="254"/>
      <c r="J65" s="254"/>
      <c r="K65" s="254"/>
      <c r="L65" s="254"/>
      <c r="M65" s="254"/>
      <c r="N65" s="254"/>
      <c r="O65" s="254"/>
      <c r="P65" s="254"/>
      <c r="Q65" s="254"/>
      <c r="R65" s="254"/>
      <c r="S65" s="254"/>
      <c r="T65" s="255"/>
    </row>
    <row r="66" spans="1:20" ht="10.5" customHeight="1" x14ac:dyDescent="0.2">
      <c r="A66" s="253" t="str">
        <f>IF('additional comments'!A15=0," ",'additional comments'!A15)</f>
        <v xml:space="preserve"> </v>
      </c>
      <c r="B66" s="254"/>
      <c r="C66" s="254"/>
      <c r="D66" s="254"/>
      <c r="E66" s="254"/>
      <c r="F66" s="254"/>
      <c r="G66" s="254"/>
      <c r="H66" s="254"/>
      <c r="I66" s="254"/>
      <c r="J66" s="254"/>
      <c r="K66" s="254"/>
      <c r="L66" s="254"/>
      <c r="M66" s="254"/>
      <c r="N66" s="254"/>
      <c r="O66" s="254"/>
      <c r="P66" s="254"/>
      <c r="Q66" s="254"/>
      <c r="R66" s="254"/>
      <c r="S66" s="254"/>
      <c r="T66" s="255"/>
    </row>
    <row r="67" spans="1:20" ht="10.5" customHeight="1" thickBot="1" x14ac:dyDescent="0.25">
      <c r="A67" s="245" t="str">
        <f>IF('additional comments'!A16=0," ",'additional comments'!A16)</f>
        <v xml:space="preserve"> </v>
      </c>
      <c r="B67" s="246"/>
      <c r="C67" s="246"/>
      <c r="D67" s="246"/>
      <c r="E67" s="246"/>
      <c r="F67" s="246"/>
      <c r="G67" s="246"/>
      <c r="H67" s="246"/>
      <c r="I67" s="246"/>
      <c r="J67" s="246"/>
      <c r="K67" s="246"/>
      <c r="L67" s="246"/>
      <c r="M67" s="246"/>
      <c r="N67" s="246"/>
      <c r="O67" s="246"/>
      <c r="P67" s="246"/>
      <c r="Q67" s="246"/>
      <c r="R67" s="246"/>
      <c r="S67" s="246"/>
      <c r="T67" s="247"/>
    </row>
  </sheetData>
  <sheetProtection sheet="1" objects="1" scenarios="1"/>
  <mergeCells count="69">
    <mergeCell ref="A63:T63"/>
    <mergeCell ref="A65:T65"/>
    <mergeCell ref="A66:T66"/>
    <mergeCell ref="A67:T67"/>
    <mergeCell ref="A64:T64"/>
    <mergeCell ref="N11:O11"/>
    <mergeCell ref="S11:T11"/>
    <mergeCell ref="P13:P32"/>
    <mergeCell ref="I34:J34"/>
    <mergeCell ref="C28:I28"/>
    <mergeCell ref="A11:I11"/>
    <mergeCell ref="C13:I13"/>
    <mergeCell ref="C14:I14"/>
    <mergeCell ref="C15:I15"/>
    <mergeCell ref="C16:I16"/>
    <mergeCell ref="C17:I17"/>
    <mergeCell ref="C29:I29"/>
    <mergeCell ref="C30:I30"/>
    <mergeCell ref="C31:I31"/>
    <mergeCell ref="C24:I24"/>
    <mergeCell ref="C25:I25"/>
    <mergeCell ref="A62:T62"/>
    <mergeCell ref="A50:T50"/>
    <mergeCell ref="A51:T51"/>
    <mergeCell ref="A52:T52"/>
    <mergeCell ref="A53:T53"/>
    <mergeCell ref="A54:T54"/>
    <mergeCell ref="A56:T56"/>
    <mergeCell ref="A57:T57"/>
    <mergeCell ref="A58:T58"/>
    <mergeCell ref="A59:T59"/>
    <mergeCell ref="A60:T60"/>
    <mergeCell ref="A61:T61"/>
    <mergeCell ref="A42:T42"/>
    <mergeCell ref="A43:T43"/>
    <mergeCell ref="A48:T48"/>
    <mergeCell ref="A49:T49"/>
    <mergeCell ref="A44:T44"/>
    <mergeCell ref="A45:T45"/>
    <mergeCell ref="A46:T46"/>
    <mergeCell ref="A47:T47"/>
    <mergeCell ref="A41:T41"/>
    <mergeCell ref="C18:I18"/>
    <mergeCell ref="C19:I19"/>
    <mergeCell ref="C26:I26"/>
    <mergeCell ref="C27:I27"/>
    <mergeCell ref="C20:I20"/>
    <mergeCell ref="C21:I21"/>
    <mergeCell ref="C22:I22"/>
    <mergeCell ref="C23:I23"/>
    <mergeCell ref="A37:T37"/>
    <mergeCell ref="A38:T38"/>
    <mergeCell ref="A39:T39"/>
    <mergeCell ref="C32:I32"/>
    <mergeCell ref="A40:T40"/>
    <mergeCell ref="D1:E1"/>
    <mergeCell ref="G1:O1"/>
    <mergeCell ref="Q1:T1"/>
    <mergeCell ref="D2:E2"/>
    <mergeCell ref="G2:O2"/>
    <mergeCell ref="Q2:T2"/>
    <mergeCell ref="A9:T9"/>
    <mergeCell ref="Q7:T7"/>
    <mergeCell ref="A8:C8"/>
    <mergeCell ref="A4:C4"/>
    <mergeCell ref="E4:T4"/>
    <mergeCell ref="A5:T5"/>
    <mergeCell ref="A6:T6"/>
    <mergeCell ref="E8:T8"/>
  </mergeCells>
  <phoneticPr fontId="0" type="noConversion"/>
  <pageMargins left="0.75" right="0.75" top="0.56000000000000005" bottom="0.69" header="0.63" footer="0.5"/>
  <pageSetup orientation="portrait" r:id="rId1"/>
  <headerFooter alignWithMargins="0">
    <oddHeader>&amp;L&amp;"Tahoma,Regular"&amp;14          &amp;D</oddHead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recipe form</vt:lpstr>
      <vt:lpstr>additional instructions</vt:lpstr>
      <vt:lpstr>additional comments</vt:lpstr>
      <vt:lpstr>end recipe</vt:lpstr>
      <vt:lpstr>'recipe form'!Print_Area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Prime</dc:creator>
  <cp:lastModifiedBy>Cooks</cp:lastModifiedBy>
  <cp:lastPrinted>2016-09-12T17:13:12Z</cp:lastPrinted>
  <dcterms:created xsi:type="dcterms:W3CDTF">2000-10-24T15:57:25Z</dcterms:created>
  <dcterms:modified xsi:type="dcterms:W3CDTF">2016-09-12T18:17:27Z</dcterms:modified>
</cp:coreProperties>
</file>