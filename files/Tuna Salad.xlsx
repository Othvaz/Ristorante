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<sst xmlns="http://schemas.openxmlformats.org/spreadsheetml/2006/main" count="53" uniqueCount="49">
  <si>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</si>
  <si>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</si>
  <si>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</si>
  <si>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</si>
  <si>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</si>
  <si>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</si>
  <si>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</si>
  <si>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</si>
  <si>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</si>
  <si>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</si>
  <si>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</si>
  <si>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</si>
  <si>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</si>
  <si>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</si>
  <si>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</si>
  <si>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</si>
  <si>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</si>
  <si>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</si>
  <si>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</si>
  <si>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</si>
  <si>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</si>
  <si>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</si>
  <si>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</si>
  <si>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</si>
  <si>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</si>
  <si>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</si>
  <si>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</si>
  <si>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</si>
  <si>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</si>
  <si>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</si>
  <si>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</si>
  <si>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</si>
  <si>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</si>
  <si>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</si>
  <si>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</si>
  <si>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</si>
  <si>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Tuna Salad</t>
  </si>
  <si>
    <t>Tuna</t>
  </si>
  <si>
    <t>oz</t>
  </si>
  <si>
    <t>Black Pepper</t>
  </si>
  <si>
    <t>t</t>
  </si>
  <si>
    <t>Salt</t>
  </si>
  <si>
    <t>Onion</t>
  </si>
  <si>
    <t>ct</t>
  </si>
  <si>
    <t>Celery</t>
  </si>
  <si>
    <t>Mayo</t>
  </si>
  <si>
    <t>C</t>
  </si>
  <si>
    <t>Lemon Juice</t>
  </si>
  <si>
    <t xml:space="preserve">Chop onion and celery, mix all ingredients 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</si>
</sst>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zoomScaleNormal="100" zoomScaleSheetLayoutView="110" workbookViewId="0">
      <selection activeCell="Q10" sqref="Q10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142" t="s">
        <v>35</v>
      </c>
      <c r="E1" s="142"/>
      <c r="F1" s="42"/>
      <c r="G1" s="145" t="s">
        <v>36</v>
      </c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142" t="s">
        <v>34</v>
      </c>
      <c r="E2" s="142"/>
      <c r="F2" s="41"/>
      <c r="G2" s="146"/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30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40" t="s">
        <v>37</v>
      </c>
      <c r="D12" s="140"/>
      <c r="E12" s="140"/>
      <c r="F12" s="140"/>
      <c r="G12" s="140"/>
      <c r="H12" s="140"/>
      <c r="I12" s="141"/>
      <c r="J12" s="56">
        <v>9.5</v>
      </c>
      <c r="K12" s="15"/>
      <c r="L12" s="33" t="s">
        <v>38</v>
      </c>
      <c r="M12" s="16"/>
      <c r="N12" s="29">
        <f t="shared" ref="N12:N31" si="0">IF(C12=0," ",(J12/$J$33)*50)</f>
        <v>118.75</v>
      </c>
      <c r="O12" s="30">
        <f t="shared" ref="O12:O31" si="1">IF(C12=0," ",(J12/$J$33)*75)</f>
        <v>178.125</v>
      </c>
      <c r="P12" s="30"/>
      <c r="Q12" s="86">
        <f t="shared" ref="Q12:Q31" si="2">IF(C12=0," ",(J12/$J$33)*$Q$9)</f>
        <v>71.25</v>
      </c>
      <c r="R12" s="86"/>
      <c r="S12" s="87"/>
      <c r="U12" s="9"/>
      <c r="V12" s="9"/>
    </row>
    <row r="13" spans="1:29" ht="12.75" customHeight="1">
      <c r="A13" s="68" t="s">
        <v>1</v>
      </c>
      <c r="B13" s="69"/>
      <c r="C13" s="103" t="s">
        <v>39</v>
      </c>
      <c r="D13" s="103"/>
      <c r="E13" s="103"/>
      <c r="F13" s="103"/>
      <c r="G13" s="103"/>
      <c r="H13" s="103"/>
      <c r="I13" s="104"/>
      <c r="J13" s="63">
        <v>0.25</v>
      </c>
      <c r="K13" s="64"/>
      <c r="L13" s="70" t="s">
        <v>40</v>
      </c>
      <c r="M13" s="65"/>
      <c r="N13" s="66">
        <f t="shared" si="0"/>
        <v>3.125</v>
      </c>
      <c r="O13" s="67">
        <f t="shared" si="1"/>
        <v>4.6875</v>
      </c>
      <c r="P13" s="67"/>
      <c r="Q13" s="84">
        <f>IF(C13=0," ",(J13/$J$33)*$Q$9)</f>
        <v>1.875</v>
      </c>
      <c r="R13" s="84"/>
      <c r="S13" s="85"/>
      <c r="U13" s="9"/>
      <c r="V13" s="9"/>
    </row>
    <row r="14" spans="1:29" ht="12.75" customHeight="1">
      <c r="A14" s="50" t="s">
        <v>2</v>
      </c>
      <c r="B14" s="51"/>
      <c r="C14" s="105" t="s">
        <v>41</v>
      </c>
      <c r="D14" s="105"/>
      <c r="E14" s="105"/>
      <c r="F14" s="105"/>
      <c r="G14" s="105"/>
      <c r="H14" s="105"/>
      <c r="I14" s="106"/>
      <c r="J14" s="56">
        <v>0.25</v>
      </c>
      <c r="K14" s="15"/>
      <c r="L14" s="34" t="s">
        <v>40</v>
      </c>
      <c r="M14" s="16"/>
      <c r="N14" s="29">
        <f t="shared" si="0"/>
        <v>3.125</v>
      </c>
      <c r="O14" s="30">
        <f t="shared" si="1"/>
        <v>4.6875</v>
      </c>
      <c r="P14" s="30"/>
      <c r="Q14" s="86">
        <f>IF(C14=0," ",(J14/$J$33)*$Q$9)</f>
        <v>1.875</v>
      </c>
      <c r="R14" s="86"/>
      <c r="S14" s="87"/>
      <c r="U14" s="9"/>
      <c r="V14" s="9"/>
    </row>
    <row r="15" spans="1:29" ht="12.75" customHeight="1">
      <c r="A15" s="68" t="s">
        <v>3</v>
      </c>
      <c r="B15" s="69"/>
      <c r="C15" s="103" t="s">
        <v>42</v>
      </c>
      <c r="D15" s="103"/>
      <c r="E15" s="103"/>
      <c r="F15" s="103"/>
      <c r="G15" s="103"/>
      <c r="H15" s="103"/>
      <c r="I15" s="104"/>
      <c r="J15" s="63">
        <v>1</v>
      </c>
      <c r="K15" s="64"/>
      <c r="L15" s="70" t="s">
        <v>43</v>
      </c>
      <c r="M15" s="71"/>
      <c r="N15" s="66">
        <f t="shared" si="0"/>
        <v>12.5</v>
      </c>
      <c r="O15" s="67">
        <f t="shared" si="1"/>
        <v>18.75</v>
      </c>
      <c r="P15" s="67"/>
      <c r="Q15" s="84">
        <f>IF(C15=0," ",(J15/$J$33)*$Q$9)</f>
        <v>7.5</v>
      </c>
      <c r="R15" s="84"/>
      <c r="S15" s="85"/>
      <c r="U15" s="9"/>
      <c r="V15" s="9"/>
    </row>
    <row r="16" spans="1:29" ht="12.75" customHeight="1">
      <c r="A16" s="50" t="s">
        <v>4</v>
      </c>
      <c r="B16" s="51"/>
      <c r="C16" s="105" t="s">
        <v>44</v>
      </c>
      <c r="D16" s="105"/>
      <c r="E16" s="105"/>
      <c r="F16" s="105"/>
      <c r="G16" s="105"/>
      <c r="H16" s="105"/>
      <c r="I16" s="106"/>
      <c r="J16" s="56">
        <v>1</v>
      </c>
      <c r="K16" s="15"/>
      <c r="L16" s="34" t="s">
        <v>43</v>
      </c>
      <c r="M16" s="16"/>
      <c r="N16" s="29">
        <f t="shared" si="0"/>
        <v>12.5</v>
      </c>
      <c r="O16" s="30">
        <f t="shared" si="1"/>
        <v>18.75</v>
      </c>
      <c r="P16" s="30"/>
      <c r="Q16" s="86">
        <f t="shared" si="2"/>
        <v>7.5</v>
      </c>
      <c r="R16" s="86"/>
      <c r="S16" s="87"/>
      <c r="U16" s="9"/>
      <c r="V16" s="9"/>
    </row>
    <row r="17" spans="1:23" ht="12.75" customHeight="1">
      <c r="A17" s="68" t="s">
        <v>5</v>
      </c>
      <c r="B17" s="69"/>
      <c r="C17" s="103" t="s">
        <v>45</v>
      </c>
      <c r="D17" s="103"/>
      <c r="E17" s="103"/>
      <c r="F17" s="103"/>
      <c r="G17" s="103"/>
      <c r="H17" s="103"/>
      <c r="I17" s="104"/>
      <c r="J17" s="63">
        <v>0.5</v>
      </c>
      <c r="K17" s="64"/>
      <c r="L17" s="70" t="s">
        <v>46</v>
      </c>
      <c r="M17" s="65"/>
      <c r="N17" s="66">
        <f t="shared" si="0"/>
        <v>6.25</v>
      </c>
      <c r="O17" s="67">
        <f t="shared" si="1"/>
        <v>9.375</v>
      </c>
      <c r="P17" s="67"/>
      <c r="Q17" s="84">
        <f>IF(C17=0," ",(J17/$J$33)*$Q$9)</f>
        <v>3.75</v>
      </c>
      <c r="R17" s="84"/>
      <c r="S17" s="85"/>
      <c r="U17" s="9"/>
      <c r="V17" s="9"/>
    </row>
    <row r="18" spans="1:23" ht="12.75" customHeight="1">
      <c r="A18" s="50" t="s">
        <v>6</v>
      </c>
      <c r="B18" s="51"/>
      <c r="C18" s="105" t="s">
        <v>47</v>
      </c>
      <c r="D18" s="105"/>
      <c r="E18" s="105"/>
      <c r="F18" s="105"/>
      <c r="G18" s="105"/>
      <c r="H18" s="105"/>
      <c r="I18" s="106"/>
      <c r="J18" s="56">
        <v>1</v>
      </c>
      <c r="K18" s="15"/>
      <c r="L18" s="34" t="s">
        <v>40</v>
      </c>
      <c r="M18" s="16"/>
      <c r="N18" s="29">
        <f t="shared" si="0"/>
        <v>12.5</v>
      </c>
      <c r="O18" s="30">
        <f t="shared" si="1"/>
        <v>18.75</v>
      </c>
      <c r="P18" s="30"/>
      <c r="Q18" s="86">
        <f t="shared" si="2"/>
        <v>7.5</v>
      </c>
      <c r="R18" s="86"/>
      <c r="S18" s="87"/>
      <c r="U18" s="9"/>
      <c r="V18" s="9"/>
    </row>
    <row r="19" spans="1:23" ht="12.75" customHeight="1">
      <c r="A19" s="68" t="s">
        <v>7</v>
      </c>
      <c r="B19" s="69"/>
      <c r="C19" s="103"/>
      <c r="D19" s="103"/>
      <c r="E19" s="103"/>
      <c r="F19" s="103"/>
      <c r="G19" s="103"/>
      <c r="H19" s="103"/>
      <c r="I19" s="104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84" t="str">
        <f t="shared" ref="Q19" si="3">IF(C19=0," ",(J19/$J$33)*$Q$9)</f>
        <v xml:space="preserve"> </v>
      </c>
      <c r="R19" s="84"/>
      <c r="S19" s="85"/>
      <c r="U19" s="9"/>
      <c r="V19" s="9"/>
    </row>
    <row r="20" spans="1:23" ht="12.75" customHeight="1">
      <c r="A20" s="50" t="s">
        <v>8</v>
      </c>
      <c r="B20" s="51"/>
      <c r="C20" s="105"/>
      <c r="D20" s="105"/>
      <c r="E20" s="105"/>
      <c r="F20" s="105"/>
      <c r="G20" s="105"/>
      <c r="H20" s="105"/>
      <c r="I20" s="106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6" t="str">
        <f>IF(C20=0," ",(J20/$J$33)*$Q$9)</f>
        <v xml:space="preserve"> </v>
      </c>
      <c r="R20" s="86"/>
      <c r="S20" s="87"/>
      <c r="U20" s="9"/>
      <c r="V20" s="9"/>
    </row>
    <row r="21" spans="1:23" ht="12.75" customHeight="1">
      <c r="A21" s="68" t="s">
        <v>9</v>
      </c>
      <c r="B21" s="69"/>
      <c r="C21" s="103"/>
      <c r="D21" s="103"/>
      <c r="E21" s="103"/>
      <c r="F21" s="103"/>
      <c r="G21" s="103"/>
      <c r="H21" s="103"/>
      <c r="I21" s="104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84" t="str">
        <f t="shared" si="2"/>
        <v xml:space="preserve"> </v>
      </c>
      <c r="R21" s="84"/>
      <c r="S21" s="85"/>
      <c r="U21" s="9"/>
      <c r="V21" s="9"/>
    </row>
    <row r="22" spans="1:23" ht="12.75" customHeight="1">
      <c r="A22" s="50" t="s">
        <v>17</v>
      </c>
      <c r="B22" s="51"/>
      <c r="C22" s="105"/>
      <c r="D22" s="105"/>
      <c r="E22" s="105"/>
      <c r="F22" s="105"/>
      <c r="G22" s="105"/>
      <c r="H22" s="105"/>
      <c r="I22" s="106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6" t="str">
        <f t="shared" si="2"/>
        <v xml:space="preserve"> </v>
      </c>
      <c r="R22" s="86"/>
      <c r="S22" s="87"/>
      <c r="U22" s="9"/>
      <c r="V22" s="9"/>
      <c r="W22" s="9"/>
    </row>
    <row r="23" spans="1:23" ht="12.75" customHeight="1">
      <c r="A23" s="68" t="s">
        <v>18</v>
      </c>
      <c r="B23" s="69"/>
      <c r="C23" s="103"/>
      <c r="D23" s="103"/>
      <c r="E23" s="103"/>
      <c r="F23" s="103"/>
      <c r="G23" s="103"/>
      <c r="H23" s="103"/>
      <c r="I23" s="104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84" t="str">
        <f>IF(C23=0," ",(J23/$J$33)*$Q$9)</f>
        <v xml:space="preserve"> </v>
      </c>
      <c r="R23" s="84"/>
      <c r="S23" s="85"/>
      <c r="U23" s="9"/>
      <c r="V23" s="9"/>
    </row>
    <row r="24" spans="1:23" ht="12.75" customHeight="1">
      <c r="A24" s="50" t="s">
        <v>19</v>
      </c>
      <c r="B24" s="51"/>
      <c r="C24" s="105"/>
      <c r="D24" s="105"/>
      <c r="E24" s="105"/>
      <c r="F24" s="105"/>
      <c r="G24" s="105"/>
      <c r="H24" s="105"/>
      <c r="I24" s="106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6" t="str">
        <f t="shared" si="2"/>
        <v xml:space="preserve"> </v>
      </c>
      <c r="R24" s="86"/>
      <c r="S24" s="87"/>
      <c r="U24" s="9"/>
      <c r="V24" s="9"/>
    </row>
    <row r="25" spans="1:23" ht="12.75" customHeight="1">
      <c r="A25" s="68" t="s">
        <v>20</v>
      </c>
      <c r="B25" s="69"/>
      <c r="C25" s="103"/>
      <c r="D25" s="103"/>
      <c r="E25" s="103"/>
      <c r="F25" s="103"/>
      <c r="G25" s="103"/>
      <c r="H25" s="103"/>
      <c r="I25" s="104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84" t="str">
        <f t="shared" si="2"/>
        <v xml:space="preserve"> </v>
      </c>
      <c r="R25" s="84"/>
      <c r="S25" s="85"/>
      <c r="U25" s="9"/>
      <c r="V25" s="9"/>
    </row>
    <row r="26" spans="1:23" ht="12.75" customHeight="1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4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>
      <c r="A37" s="88" t="s">
        <v>48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>
      <c r="A51" s="11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2011-07-23T15:14:29Z</cp:lastPrinted>
  <dcterms:created xsi:type="dcterms:W3CDTF">2000-10-24T15:57:25Z</dcterms:created>
  <dcterms:modified xsi:type="dcterms:W3CDTF">2011-07-23T15:14:36Z</dcterms:modified>
</cp:coreProperties>
</file>