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<sst xmlns="http://schemas.openxmlformats.org/spreadsheetml/2006/main" count="53" uniqueCount="50">
  <si>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</si>
  <si>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</si>
  <si>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</si>
  <si>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</si>
  <si>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</si>
  <si>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</si>
  <si>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</si>
  <si>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</si>
  <si>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</si>
  <si>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</si>
  <si>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</si>
  <si>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</si>
  <si>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</si>
  <si>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</si>
  <si>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</si>
  <si>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</si>
  <si>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</si>
  <si>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</si>
  <si>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</si>
  <si>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</si>
  <si>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</si>
  <si>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</si>
  <si>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</si>
  <si>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</si>
  <si>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</si>
  <si>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</si>
  <si>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</si>
  <si>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</si>
  <si>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</si>
  <si>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</si>
  <si>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</si>
  <si>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</si>
  <si>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</si>
  <si>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</si>
  <si>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</si>
  <si>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</si>
  <si>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Vegan Curry</t>
  </si>
  <si>
    <t>Coconut Milk</t>
  </si>
  <si>
    <t>Mock Duck</t>
  </si>
  <si>
    <t>Curry Powder</t>
  </si>
  <si>
    <t>Tbsp</t>
  </si>
  <si>
    <t>Salt</t>
  </si>
  <si>
    <t>tsp</t>
  </si>
  <si>
    <t>can</t>
  </si>
  <si>
    <t>Frozen Mango</t>
  </si>
  <si>
    <t>lbs</t>
  </si>
  <si>
    <t>Onion</t>
  </si>
  <si>
    <t>ct</t>
  </si>
  <si>
    <t>Pepper</t>
  </si>
  <si>
    <t>Udo's Vegan Curry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</si>
</sst>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SheetLayoutView="110" workbookViewId="0">
      <selection activeCell="U29" sqref="U29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 t="s">
        <v>49</v>
      </c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12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1</v>
      </c>
      <c r="K12" s="15"/>
      <c r="L12" s="33" t="s">
        <v>43</v>
      </c>
      <c r="M12" s="16"/>
      <c r="N12" s="29">
        <f t="shared" ref="N12:N31" si="0">IF(C12=0," ",(J12/$J$33)*50)</f>
        <v>8.3333333333333321</v>
      </c>
      <c r="O12" s="30">
        <f t="shared" ref="O12:O31" si="1">IF(C12=0," ",(J12/$J$33)*75)</f>
        <v>12.5</v>
      </c>
      <c r="P12" s="30"/>
      <c r="Q12" s="82">
        <f t="shared" ref="Q12:Q31" si="2">IF(C12=0," ",(J12/$J$33)*$Q$9)</f>
        <v>2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1</v>
      </c>
      <c r="K13" s="64"/>
      <c r="L13" s="70" t="s">
        <v>43</v>
      </c>
      <c r="M13" s="65"/>
      <c r="N13" s="66">
        <f t="shared" si="0"/>
        <v>8.3333333333333321</v>
      </c>
      <c r="O13" s="67">
        <f t="shared" si="1"/>
        <v>12.5</v>
      </c>
      <c r="P13" s="67"/>
      <c r="Q13" s="78">
        <f>IF(C13=0," ",(J13/$J$33)*$Q$9)</f>
        <v>2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1</v>
      </c>
      <c r="K14" s="15"/>
      <c r="L14" s="34" t="s">
        <v>40</v>
      </c>
      <c r="M14" s="16"/>
      <c r="N14" s="29">
        <f t="shared" si="0"/>
        <v>8.3333333333333321</v>
      </c>
      <c r="O14" s="30">
        <f t="shared" si="1"/>
        <v>12.5</v>
      </c>
      <c r="P14" s="30"/>
      <c r="Q14" s="82">
        <f>IF(C14=0," ",(J14/$J$33)*$Q$9)</f>
        <v>2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41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42</v>
      </c>
      <c r="M15" s="71"/>
      <c r="N15" s="66">
        <f t="shared" si="0"/>
        <v>8.3333333333333321</v>
      </c>
      <c r="O15" s="67">
        <f t="shared" si="1"/>
        <v>12.5</v>
      </c>
      <c r="P15" s="67"/>
      <c r="Q15" s="78">
        <f>IF(C15=0," ",(J15/$J$33)*$Q$9)</f>
        <v>2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44</v>
      </c>
      <c r="D16" s="80"/>
      <c r="E16" s="80"/>
      <c r="F16" s="80"/>
      <c r="G16" s="80"/>
      <c r="H16" s="80"/>
      <c r="I16" s="81"/>
      <c r="J16" s="56">
        <v>1</v>
      </c>
      <c r="K16" s="15"/>
      <c r="L16" s="34" t="s">
        <v>45</v>
      </c>
      <c r="M16" s="16"/>
      <c r="N16" s="29">
        <f t="shared" si="0"/>
        <v>8.3333333333333321</v>
      </c>
      <c r="O16" s="30">
        <f t="shared" si="1"/>
        <v>12.5</v>
      </c>
      <c r="P16" s="30"/>
      <c r="Q16" s="82">
        <f t="shared" si="2"/>
        <v>2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46</v>
      </c>
      <c r="D17" s="109"/>
      <c r="E17" s="109"/>
      <c r="F17" s="109"/>
      <c r="G17" s="109"/>
      <c r="H17" s="109"/>
      <c r="I17" s="110"/>
      <c r="J17" s="63">
        <v>1</v>
      </c>
      <c r="K17" s="64"/>
      <c r="L17" s="70" t="s">
        <v>47</v>
      </c>
      <c r="M17" s="65"/>
      <c r="N17" s="66">
        <f t="shared" si="0"/>
        <v>8.3333333333333321</v>
      </c>
      <c r="O17" s="67">
        <f t="shared" si="1"/>
        <v>12.5</v>
      </c>
      <c r="P17" s="67"/>
      <c r="Q17" s="78">
        <f>IF(C17=0," ",(J17/$J$33)*$Q$9)</f>
        <v>2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48</v>
      </c>
      <c r="D18" s="80"/>
      <c r="E18" s="80"/>
      <c r="F18" s="80"/>
      <c r="G18" s="80"/>
      <c r="H18" s="80"/>
      <c r="I18" s="81"/>
      <c r="J18" s="56">
        <v>1</v>
      </c>
      <c r="K18" s="15"/>
      <c r="L18" s="34" t="s">
        <v>47</v>
      </c>
      <c r="M18" s="16"/>
      <c r="N18" s="29">
        <f t="shared" si="0"/>
        <v>8.3333333333333321</v>
      </c>
      <c r="O18" s="30">
        <f t="shared" si="1"/>
        <v>12.5</v>
      </c>
      <c r="P18" s="30"/>
      <c r="Q18" s="82">
        <f t="shared" si="2"/>
        <v>2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/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 t="str">
        <f t="shared" si="0"/>
        <v xml:space="preserve"> </v>
      </c>
      <c r="O19" s="67" t="str">
        <f t="shared" si="1"/>
        <v xml:space="preserve"> </v>
      </c>
      <c r="P19" s="67"/>
      <c r="Q19" s="78" t="str">
        <f t="shared" ref="Q19" si="3">IF(C19=0," ",(J19/$J$33)*$Q$9)</f>
        <v xml:space="preserve"> 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Eastman</dc:creator>
  <cp:lastModifiedBy>Daniel Eastman</cp:lastModifiedBy>
  <cp:lastPrinted>2018-05-01T20:11:28Z</cp:lastPrinted>
  <dcterms:created xsi:type="dcterms:W3CDTF">2000-10-24T15:57:25Z</dcterms:created>
  <dcterms:modified xsi:type="dcterms:W3CDTF">2018-05-01T20:11:51Z</dcterms:modified>
</cp:coreProperties>
</file>